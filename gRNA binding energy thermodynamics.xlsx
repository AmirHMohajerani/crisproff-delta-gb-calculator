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ir\Desktop\"/>
    </mc:Choice>
  </mc:AlternateContent>
  <xr:revisionPtr revIDLastSave="0" documentId="13_ncr:1_{6A6D9E97-7E8B-4416-A724-E9361931BF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culator" sheetId="1" r:id="rId1"/>
    <sheet name="Params" sheetId="2" r:id="rId2"/>
    <sheet name="Validation" sheetId="3" r:id="rId3"/>
    <sheet name="Interpretation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V23" i="1"/>
  <c r="V20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U12" i="1" l="1"/>
  <c r="I12" i="1"/>
  <c r="Q17" i="1"/>
  <c r="E17" i="1"/>
  <c r="M17" i="1"/>
  <c r="I17" i="1"/>
  <c r="Q12" i="1"/>
  <c r="T17" i="1"/>
  <c r="S17" i="1"/>
  <c r="C13" i="1"/>
  <c r="C14" i="1" s="1"/>
  <c r="C16" i="1" s="1"/>
  <c r="G13" i="1"/>
  <c r="G14" i="1" s="1"/>
  <c r="G16" i="1" s="1"/>
  <c r="K13" i="1"/>
  <c r="K14" i="1" s="1"/>
  <c r="K16" i="1" s="1"/>
  <c r="O13" i="1"/>
  <c r="O14" i="1" s="1"/>
  <c r="O16" i="1" s="1"/>
  <c r="S13" i="1"/>
  <c r="S14" i="1" s="1"/>
  <c r="S16" i="1" s="1"/>
  <c r="B17" i="1"/>
  <c r="F17" i="1"/>
  <c r="J17" i="1"/>
  <c r="N17" i="1"/>
  <c r="R17" i="1"/>
  <c r="E13" i="1"/>
  <c r="E14" i="1" s="1"/>
  <c r="E16" i="1" s="1"/>
  <c r="M13" i="1"/>
  <c r="M14" i="1" s="1"/>
  <c r="M16" i="1" s="1"/>
  <c r="B13" i="1"/>
  <c r="B14" i="1" s="1"/>
  <c r="B16" i="1" s="1"/>
  <c r="F13" i="1"/>
  <c r="F14" i="1" s="1"/>
  <c r="F16" i="1" s="1"/>
  <c r="J13" i="1"/>
  <c r="J14" i="1" s="1"/>
  <c r="J16" i="1" s="1"/>
  <c r="N13" i="1"/>
  <c r="N14" i="1" s="1"/>
  <c r="N16" i="1" s="1"/>
  <c r="R13" i="1"/>
  <c r="R14" i="1" s="1"/>
  <c r="R16" i="1" s="1"/>
  <c r="C17" i="1"/>
  <c r="G17" i="1"/>
  <c r="K17" i="1"/>
  <c r="O17" i="1"/>
  <c r="E12" i="1"/>
  <c r="M12" i="1"/>
  <c r="I13" i="1"/>
  <c r="I14" i="1" s="1"/>
  <c r="I16" i="1" s="1"/>
  <c r="H17" i="1"/>
  <c r="P17" i="1"/>
  <c r="F12" i="1"/>
  <c r="N12" i="1"/>
  <c r="R12" i="1"/>
  <c r="D12" i="1"/>
  <c r="H12" i="1"/>
  <c r="L12" i="1"/>
  <c r="P12" i="1"/>
  <c r="T12" i="1"/>
  <c r="D13" i="1"/>
  <c r="D14" i="1" s="1"/>
  <c r="D16" i="1" s="1"/>
  <c r="H13" i="1"/>
  <c r="H14" i="1" s="1"/>
  <c r="H16" i="1" s="1"/>
  <c r="L13" i="1"/>
  <c r="L14" i="1" s="1"/>
  <c r="L16" i="1" s="1"/>
  <c r="P13" i="1"/>
  <c r="P14" i="1" s="1"/>
  <c r="P16" i="1" s="1"/>
  <c r="T13" i="1"/>
  <c r="T14" i="1" s="1"/>
  <c r="T16" i="1" s="1"/>
  <c r="Q13" i="1"/>
  <c r="Q14" i="1" s="1"/>
  <c r="Q16" i="1" s="1"/>
  <c r="D17" i="1"/>
  <c r="L17" i="1"/>
  <c r="B12" i="1"/>
  <c r="J12" i="1"/>
  <c r="C12" i="1"/>
  <c r="G12" i="1"/>
  <c r="K12" i="1"/>
  <c r="O12" i="1"/>
  <c r="S12" i="1"/>
  <c r="V22" i="1" l="1"/>
  <c r="V27" i="1"/>
  <c r="V19" i="1"/>
  <c r="V21" i="1" s="1"/>
  <c r="V25" i="1" l="1"/>
  <c r="V28" i="1" s="1"/>
  <c r="V26" i="1" l="1"/>
</calcChain>
</file>

<file path=xl/sharedStrings.xml><?xml version="1.0" encoding="utf-8"?>
<sst xmlns="http://schemas.openxmlformats.org/spreadsheetml/2006/main" count="333" uniqueCount="260">
  <si>
    <t>CRISPRoff v2.1 Binding Energy Calculator  —  Alkan et al. (2018) Model with Sugimoto 1995 RNA:DNA Parameters</t>
  </si>
  <si>
    <t>ΔG_B = δ_PAM × (ΔG_H – ΔG_U – ΔG_O)  |  5'→3'; PAM at 3'; mismatch detected by direct base comparison (X10≠X11)</t>
  </si>
  <si>
    <t>▶  INPUTS  (type your sequences in the blue cells below)</t>
  </si>
  <si>
    <t>gRNA / primer sequence (5'→3', 20 nt):</t>
  </si>
  <si>
    <t>Enter as DNA (T not U)</t>
  </si>
  <si>
    <t>Target DNA protospacer (5'→3', same strand, 20 nt):</t>
  </si>
  <si>
    <t>Same strand as gRNA (non-template)</t>
  </si>
  <si>
    <t>PAM type:</t>
  </si>
  <si>
    <t>NGG</t>
  </si>
  <si>
    <t>NGG=1.0  |  NAG=0.9  |  NGA=0.8</t>
  </si>
  <si>
    <t>ΔG_U  gRNA self-folding MFE (kcal/mol, from RNAfold; usually ≤ 0; enter 0 if unknown):</t>
  </si>
  <si>
    <t>Set to 0 if you have no RNAfold prediction</t>
  </si>
  <si>
    <t>Position (5'→3')</t>
  </si>
  <si>
    <t>gRNA base (5'→3')</t>
  </si>
  <si>
    <t>DNA protospacer base (5'→3')</t>
  </si>
  <si>
    <t>Match with target? (✓/✗)</t>
  </si>
  <si>
    <t>Dinucleotide step (gRNA)</t>
  </si>
  <si>
    <t>Sugimoto ΔG°37 RNA:DNA (matched) / Watkins 2011 mismatch NN ΔG°37 (kcal/mol)</t>
  </si>
  <si>
    <t>Cas9 positional weight Γ[i]  (Alkan 2018 Eq. 2)</t>
  </si>
  <si>
    <t>Weighted contribution Γ × ΔG (kcal/mol)</t>
  </si>
  <si>
    <t>ΔG_O DNA:DNA step (SantaLucia 1998, kcal/mol)</t>
  </si>
  <si>
    <t>▶  ENERGY SUMMARY  &amp;  INTERPRETATION</t>
  </si>
  <si>
    <t>ΔG_H  (unweighted sum of 19 NN stacking terms)</t>
  </si>
  <si>
    <t>kcal/mol</t>
  </si>
  <si>
    <t>Hybridisation energy. Sweet spot for efficient Cas9: -47 to -65 kcal/mol (Xiang 2022)</t>
  </si>
  <si>
    <t>Initiation correction (Sugimoto 1995)</t>
  </si>
  <si>
    <t>Added to ΔG_H: entropic cost of nucleating the RNA:DNA duplex</t>
  </si>
  <si>
    <t>ΔG_H + initiation  (used in ΔG_B formula)</t>
  </si>
  <si>
    <t>This is the ΔG_H term in ΔG_B = δ_PAM × (ΔG_H – ΔG_U – ΔG_O)</t>
  </si>
  <si>
    <t>ΔG_O  (DNA:DNA duplex opening penalty)</t>
  </si>
  <si>
    <t>Energy cost to unwind the target DNA duplex. More negative = harder to open</t>
  </si>
  <si>
    <t>ΔG_U  (gRNA self-folding MFE from RNAfold)</t>
  </si>
  <si>
    <t>Penalty for gRNA structure that must unfold before binding. From cell B7.</t>
  </si>
  <si>
    <t>δ_PAM  (PAM correction factor)</t>
  </si>
  <si>
    <t>dimensionless</t>
  </si>
  <si>
    <t>NGG=1.0 (canonical), NAG=0.9, NGA=0.8 (non-canonical, weaker recognition)</t>
  </si>
  <si>
    <t>ΔG_B  =  δ_PAM × (ΔG_H_init – ΔG_U – ΔG_O)</t>
  </si>
  <si>
    <t>COMPLEX FORMATION requires ΔG_B ≤ -10.0 kcal/mol</t>
  </si>
  <si>
    <t>CRISPRoff score  =  –ΔG_B  (higher = tighter binding = better on-target)</t>
  </si>
  <si>
    <t>Target: ≥ 10. Good: 12–18. Sweet spot ΔG_B: -10 to -18 kcal/mol (Xiang 2022 Nat Commun)</t>
  </si>
  <si>
    <t>Mismatch count  (positions where gRNA ≠ target)</t>
  </si>
  <si>
    <t>count</t>
  </si>
  <si>
    <t>0 = perfect match. ≥2 clustered PAM-distal mm strongly disrupts binding.</t>
  </si>
  <si>
    <t>Complex formation? (ΔG_B ≤ -10.0)</t>
  </si>
  <si>
    <t>Must be YES for CRISPRoff to deposit heritable methylation.</t>
  </si>
  <si>
    <t>▶  HOW TO USE AND INTERPRET RESULTS</t>
  </si>
  <si>
    <t>STEP 1</t>
  </si>
  <si>
    <t>Enter your 20-nt gRNA in B4 and the target DNA sequence (same strand, same direction) in B5. Both as DNA (T not U).</t>
  </si>
  <si>
    <t>STEP 2</t>
  </si>
  <si>
    <t>Set PAM type in B6 (NGG/NAG/NGA) and optionally enter RNAfold MFE in B7 (leave 0 if unknown).</t>
  </si>
  <si>
    <t>STEP 3</t>
  </si>
  <si>
    <t>Check ΔG_B (row 25). Must be ≤ -10.0 kcal/mol for stable dCas9 complex. Optimal: -10 to -18 kcal/mol.</t>
  </si>
  <si>
    <t>STEP 4</t>
  </si>
  <si>
    <t>For allele specificity: compare ΔG_B for mutant vs WT target. Threshold: |ΔΔG_B| ≥ 2.0 kcal/mol.</t>
  </si>
  <si>
    <t>SWEET SPOTS</t>
  </si>
  <si>
    <t>ΔG_H (row 19): -47 to -65 kcal/mol optimal (Xiang 2022). ΔG_B (row 25): -10 to -18 kcal/mol optimal.</t>
  </si>
  <si>
    <t>CRISPROFF SCORE</t>
  </si>
  <si>
    <t>Score = -ΔG_B. Good on-target: 10–18. Low activity: &lt;10. The raw Alkan webserver multiplies this by ~4 for display.</t>
  </si>
  <si>
    <t>ALLELE SPECIFICITY</t>
  </si>
  <si>
    <t>|ΔΔG_B| ≥ 2.0 kcal/mol = minimum selectivity (3.4× binding ratio). ≥3.0 kcal/mol = strong (6×).</t>
  </si>
  <si>
    <t>IF ΔG_H TOO LOW</t>
  </si>
  <si>
    <t>A-T-rich sequences give less negative ΔG_H. If ΔG_B &gt; -10, try shifting the sgRNA window or adding a G-rich extension.</t>
  </si>
  <si>
    <t>MISMATCH TOOL</t>
  </si>
  <si>
    <t>Change one or more bases in B4 to simulate deliberate mismatches. Watch ΔG_B change in row 25.</t>
  </si>
  <si>
    <t>SOURCES: ΔG°37 RNA:DNA nearest-neighbour — Sugimoto et al. Biochemistry 1995, 34:11211 (1 M NaCl) | DNA:DNA ΔG°37 — SantaLucia &amp; Hicks Annu Rev Biophys 2004; Sugimoto 1996 NAR | Cas9 positional weights — Alkan et al. Genome Biology 2018, 19:177 Eq.(2) | ΔG_B sweet spot — Xiang et al. Nat Commun 2022, 13:3001 | Initiation +3.1 kcal/mol — Sugimoto 1995</t>
  </si>
  <si>
    <t>Thermodynamic Parameter Tables  —  All values in ΔG°37 kcal/mol</t>
  </si>
  <si>
    <t>RNA:DNA Nearest-Neighbour ΔG°37 (Sugimoto 1995)</t>
  </si>
  <si>
    <t>DNA:DNA Nearest-Neighbour ΔG°37 (SantaLucia 1998 / Sugimoto 1996)</t>
  </si>
  <si>
    <t>NN Key (gRNA 5'→3' / DNA complement 3'→5')</t>
  </si>
  <si>
    <t>ΔG°37 (kcal/mol)</t>
  </si>
  <si>
    <t>Alternative key (U→T form)</t>
  </si>
  <si>
    <t>NN Key (5'→3' / 3'→5')</t>
  </si>
  <si>
    <t>Reverse key</t>
  </si>
  <si>
    <t>Base</t>
  </si>
  <si>
    <t>Complement</t>
  </si>
  <si>
    <t>Mismatch key</t>
  </si>
  <si>
    <t>Mismatch type</t>
  </si>
  <si>
    <t>Source</t>
  </si>
  <si>
    <t>AA</t>
  </si>
  <si>
    <t>TT</t>
  </si>
  <si>
    <t>A</t>
  </si>
  <si>
    <t>T</t>
  </si>
  <si>
    <t>rA:dA</t>
  </si>
  <si>
    <t>Watkins &amp; SantaLucia 2011, Table 1 avg</t>
  </si>
  <si>
    <t>AC</t>
  </si>
  <si>
    <t>AT</t>
  </si>
  <si>
    <t>CC</t>
  </si>
  <si>
    <t>rC:dC</t>
  </si>
  <si>
    <t>AG</t>
  </si>
  <si>
    <t>TA</t>
  </si>
  <si>
    <t>C</t>
  </si>
  <si>
    <t>G</t>
  </si>
  <si>
    <t>GG</t>
  </si>
  <si>
    <t>rG:dG</t>
  </si>
  <si>
    <t>AU</t>
  </si>
  <si>
    <t>CA</t>
  </si>
  <si>
    <t>rU:dT</t>
  </si>
  <si>
    <t>GT</t>
  </si>
  <si>
    <t>TG</t>
  </si>
  <si>
    <t>rG:dT wobble</t>
  </si>
  <si>
    <t>Xiang 2019 / estimate</t>
  </si>
  <si>
    <t>CT</t>
  </si>
  <si>
    <t>GA</t>
  </si>
  <si>
    <t>rG:dA</t>
  </si>
  <si>
    <t>estimate</t>
  </si>
  <si>
    <t>CG</t>
  </si>
  <si>
    <t>TC</t>
  </si>
  <si>
    <t>rU:dG</t>
  </si>
  <si>
    <t>CU</t>
  </si>
  <si>
    <t>GC</t>
  </si>
  <si>
    <t>rU:dC</t>
  </si>
  <si>
    <t>rA:dG</t>
  </si>
  <si>
    <t>rA:dC</t>
  </si>
  <si>
    <t>rC:dA</t>
  </si>
  <si>
    <t>GU</t>
  </si>
  <si>
    <t>rC:dT</t>
  </si>
  <si>
    <t>UA</t>
  </si>
  <si>
    <t>UC</t>
  </si>
  <si>
    <t>UG</t>
  </si>
  <si>
    <t>UU</t>
  </si>
  <si>
    <t>Initiation (RNA:DNA)</t>
  </si>
  <si>
    <t>Add +3.1 kcal/mol to total ΔG_H (Sugimoto 1995)</t>
  </si>
  <si>
    <t>SOURCES: RNA:DNA — Sugimoto N et al. Biochemistry 1995;34(35):11211–11216 (Table 2, 1 M NaCl). DNA:DNA — SantaLucia J &amp; Hicks D. Annu Rev Biophys Biomol Struct 2004;33:415–440; Sugimoto N et al. Nucleic Acids Res 1996;24(22):4501–4505. Cas9 weights — Alkan F et al. Genome Biol 2018;19(1):177, Eq.(2) &amp; Methods.</t>
  </si>
  <si>
    <t>VALIDATION — Manual Worked Calculation for ALDH18A1 sgRNA (Perfect Match to Mutant)</t>
  </si>
  <si>
    <t>gRNA: 5'-TCTTAAAGATAATGATAGCC-3'  |  Target MUT: 5'-TCTTAAAGATAATGATAGCC-3'  |  PAM: TGG</t>
  </si>
  <si>
    <t>Step / Parameter</t>
  </si>
  <si>
    <t>RNA dimer (5'→3')</t>
  </si>
  <si>
    <t>Sugimoto ΔG°37</t>
  </si>
  <si>
    <t>Cas9 weight Γ</t>
  </si>
  <si>
    <t>Weighted contrib.</t>
  </si>
  <si>
    <t>Notes</t>
  </si>
  <si>
    <t>Step 1: UC/AG (pos 1-2)</t>
  </si>
  <si>
    <t>UC/AG</t>
  </si>
  <si>
    <t>PAM-distal; Γ=2.25 (highest weight)</t>
  </si>
  <si>
    <t>Step 2: CU/GA (pos 2-3)</t>
  </si>
  <si>
    <t>CU/GA</t>
  </si>
  <si>
    <t>Step 3: UU/AA (pos 3-4)</t>
  </si>
  <si>
    <t>UU/AA</t>
  </si>
  <si>
    <t>A:T rich → weak stacking</t>
  </si>
  <si>
    <t>Step 4: UA/AT (pos 4-5)</t>
  </si>
  <si>
    <t>UA/AT</t>
  </si>
  <si>
    <t>Step 5: AA/TT (pos 5-6)</t>
  </si>
  <si>
    <t>AA/TT</t>
  </si>
  <si>
    <t>Step 6: AA/TT (pos 6-7)</t>
  </si>
  <si>
    <t>Step 7: AG/TC (pos 7-8)</t>
  </si>
  <si>
    <t>AG/TC</t>
  </si>
  <si>
    <t>Step 8: GA/CT (pos 8-9)</t>
  </si>
  <si>
    <t>GA/CT</t>
  </si>
  <si>
    <t>Step 9: AU/TA (pos 9-10)</t>
  </si>
  <si>
    <t>AU/TA</t>
  </si>
  <si>
    <t>Step 10: UA/AT (pos 10-11)</t>
  </si>
  <si>
    <t>Step 11: AA/TT (pos 11-12)</t>
  </si>
  <si>
    <t>Step 12: AU/TA (pos 12-13)</t>
  </si>
  <si>
    <t>Step 13: UG/AC (pos 13-14)</t>
  </si>
  <si>
    <t>UG/AC</t>
  </si>
  <si>
    <t>Γ=1.00 (minimum, PAM-distal)</t>
  </si>
  <si>
    <t>Step 14: GA/CT (pos 14-15)</t>
  </si>
  <si>
    <t>Step 15: AU/TA (pos 15-16)</t>
  </si>
  <si>
    <t>Step 16: UA/AT (pos 16-17)</t>
  </si>
  <si>
    <t>Step 17: AG/TC (pos 17-18)</t>
  </si>
  <si>
    <t>Step 18: GC/CG (pos 18-19)</t>
  </si>
  <si>
    <t>GC/CG</t>
  </si>
  <si>
    <t>G:C rich → strong stacking</t>
  </si>
  <si>
    <t>Step 19: CC/GG (pos 19-20)</t>
  </si>
  <si>
    <t>CC/GG</t>
  </si>
  <si>
    <t>PAM-proximal; Γ=1.80</t>
  </si>
  <si>
    <t>ΔG_H (Cas9-weighted sum, no initiation):</t>
  </si>
  <si>
    <t>Sum of all 19 weighted contributions above</t>
  </si>
  <si>
    <t>Initiation +3.1 kcal/mol:</t>
  </si>
  <si>
    <t>Sugimoto 1995 initiation term (added to ΔG_H)</t>
  </si>
  <si>
    <t>ΔG_H + initiation:</t>
  </si>
  <si>
    <t>Used in ΔG_B formula</t>
  </si>
  <si>
    <t>ΔG_O (DNA:DNA opening):</t>
  </si>
  <si>
    <t>SantaLucia 1998, sum of 19 steps for target DNA</t>
  </si>
  <si>
    <t>ΔG_U (gRNA folding):</t>
  </si>
  <si>
    <t>Assumed 0 (no secondary structure)</t>
  </si>
  <si>
    <t>δ_PAM (NGG):</t>
  </si>
  <si>
    <t>PAM correction factor</t>
  </si>
  <si>
    <t>ΔG_B = δ_PAM×(ΔG_H–ΔG_U–ΔG_O):</t>
  </si>
  <si>
    <t>RESULT: -37.763 - (-21.648) × 1.0 = -16.115</t>
  </si>
  <si>
    <t>CRISPRoff score = -ΔG_B:</t>
  </si>
  <si>
    <t>Positive value; good on-target; within -10 to -18 sweet spot</t>
  </si>
  <si>
    <t>INTERPRETATION: ΔG_B = -16.1 kcal/mol is within the optimal range (-10 to -18 kcal/mol) per Xiang et al. 2022. CRISPRoff score = 16.1 confirms productive complex formation. ΔG_H = -40.9 kcal/mol is slightly below the -47 to -65 kcal/mol sweet spot — expected for this A:T-rich sequence; the ΔG_B is still in range.</t>
  </si>
  <si>
    <t>Complete Interpretation Guide — CRISPRoff v2.1 Binding Energy Calculator</t>
  </si>
  <si>
    <t>WHAT IS ΔG_B?</t>
  </si>
  <si>
    <t>Definition</t>
  </si>
  <si>
    <t>ΔG_B is the approximate binding free energy of the Cas9–gRNA–DNA ternary complex. More negative = thermodynamically tighter binding. Calculated as: ΔG_B = δ_PAM × (ΔG_H – ΔG_U – ΔG_O)</t>
  </si>
  <si>
    <t>ΔG_H</t>
  </si>
  <si>
    <t>RNA:DNA hybridisation energy. Sum of 19 Sugimoto 1995 nearest-neighbour stacking terms, each multiplied by a Cas9 positional weight from Alkan 2018. More negative = more stable gRNA:DNA pairing. A-T rich guides have less negative ΔG_H; G-C rich guides have more negative ΔG_H.</t>
  </si>
  <si>
    <t>ΔG_O</t>
  </si>
  <si>
    <t>DNA:DNA opening (melting) penalty — energy needed to unwind the double-stranded DNA target. This term is subtracted, so a more negative ΔG_O slightly reduces |ΔG_B|. Calculated from SantaLucia 1998 DNA:DNA nearest-neighbour parameters.</t>
  </si>
  <si>
    <t>ΔG_U</t>
  </si>
  <si>
    <t>gRNA self-folding penalty — energy of any secondary structure in the 20-nt gRNA spacer. Obtain from RNAfold (free online tool). Enter 0 if unknown. gRNA structures with MFE &lt; -7.5 kcal/mol significantly reduce binding efficiency.</t>
  </si>
  <si>
    <t>δ_PAM</t>
  </si>
  <si>
    <t>PAM correction factor: 1.0 for NGG (canonical), 0.9 for NAG, 0.8 for NGA. Reflects weaker initial Cas9 PAM recognition for non-canonical PAMs.</t>
  </si>
  <si>
    <t>Initiation term</t>
  </si>
  <si>
    <t>+3.1 kcal/mol is added to ΔG_H to account for the entropic cost of initiating the RNA:DNA duplex (Sugimoto 1995). This makes ΔG_H less negative.</t>
  </si>
  <si>
    <t>SWEET SPOTS &amp; THRESHOLDS</t>
  </si>
  <si>
    <t>ΔG_B MUST be ≤ -10.0</t>
  </si>
  <si>
    <t>Minimum for stable dCas9–sgRNA–DNA R-loop. Below -10 kcal/mol: transient binding, insufficient DNMT3A access, no heritable methylation. Sources: Farasat &amp; Salis 2016 PLOS Comp Biol; Boyle et al. 2017 PNAS.</t>
  </si>
  <si>
    <t>ΔG_B optimal: -10 to -18</t>
  </si>
  <si>
    <t>Sweet spot for CRISPRoff-grade on-target epigenetic editing. At -10: marginal binding. At -18: strong binding. Beyond -18 (&gt;GC-rich guides) can increase off-target risk. Source: Xiang et al. Nat Commun 2022.</t>
  </si>
  <si>
    <t>ΔG_H sweet spot: -47 to -65</t>
  </si>
  <si>
    <t>Cas9-weighted hybridisation energy for highly efficient gRNAs (Xiang 2022). Guides with ΔG_H between -47 and -65 kcal/mol show maximum cleavage efficiency. Your A:T-rich guide may fall slightly outside; check ΔG_B.</t>
  </si>
  <si>
    <t>CRISPRoff score ≥ 10</t>
  </si>
  <si>
    <t>Score = -ΔG_B. ≥10: will work. ≥12: good. ≥15: excellent. Note: Alkan webserver displays score×~4-5 for scale.</t>
  </si>
  <si>
    <t>gRNA MFE ΔG_U &gt; -7.5</t>
  </si>
  <si>
    <t>gRNAs with MFE below -7.5 kcal/mol show significantly reduced activity (CRISPRon paper, Nat Commun 2021). If your RNAfold MFE is &lt; -7.5, consider redesigning.</t>
  </si>
  <si>
    <t>ALLELE SPECIFICITY (for heterozygous disease)</t>
  </si>
  <si>
    <t>|ΔΔG_B| minimum: 2.0 kcal/mol</t>
  </si>
  <si>
    <t>Minimum differential between mutant and WT allele for allele-selective epigenomic editing. 2.0 kcal/mol → ~3.4× preferential occupancy of mutant allele (Boltzmann at 37°C). Below 2.0: both alleles methylated.</t>
  </si>
  <si>
    <t>|ΔΔG_B| strong: ≥ 3.0 kcal/mol</t>
  </si>
  <si>
    <t>Strong allele selectivity: ~6× preferential mutant occupancy. Aim for this when the therapeutic goal is complete preservation of WT allele function.</t>
  </si>
  <si>
    <t>How to use:</t>
  </si>
  <si>
    <t>Run calculator twice — once with mutant target in B5, once with WT target. Subtract ΔG_B values to get |ΔΔG_B|. If &lt; 2.0, engineer a deliberate adjacent mismatch in the gRNA (change 1 base next to the SNP) to amplify discrimination.</t>
  </si>
  <si>
    <t>Deliberate mismatch strategy</t>
  </si>
  <si>
    <t>If SNP is in PAM-distal zone (+13 to +20 from PAM), a single mismatch on WT is poorly sensed. Add a deliberate C:A mismatch at the adjacent position to create a 2-mismatch cluster. This typically adds 1.5-2.5 kcal/mol additional penalty on WT while reducing mutant binding by &lt;1 kcal/mol.</t>
  </si>
  <si>
    <t>more negative energy wise means stronger bind so -15 binds better than -13</t>
  </si>
  <si>
    <t>COMMON ERRORS &amp; FIXES</t>
  </si>
  <si>
    <t>ΔG_B &gt; -10 (too weak)</t>
  </si>
  <si>
    <t>Guide is too A:T-rich or has secondary structure. Options: (1) extend gRNA to 21-22 nt if PAM allows; (2) shift target window 1-3 nt; (3) select a guide targeting the other strand.</t>
  </si>
  <si>
    <t>ΔG_B &lt;&lt; -18 (too strong)</t>
  </si>
  <si>
    <t>Very G:C-rich guide may have elevated off-target risk. Check CRISPRspec score at rth.dk/resources/crispr/. Consider a slightly shifted window.</t>
  </si>
  <si>
    <t>ΔΔG_B &lt; 2.0</t>
  </si>
  <si>
    <t>Not allele-specific enough. Use deliberate adjacent mismatch strategy. If SNP is in seed region (+1 to +12), a perfect-match guide may already discriminate sufficiently.</t>
  </si>
  <si>
    <t>gRNA MFE &lt; -7.5</t>
  </si>
  <si>
    <t>Enter the RNAfold MFE value in B7. If ΔG_B becomes &gt; -10 after subtracting ΔG_U, the guide is predicted to be low-efficiency. Redesign.</t>
  </si>
  <si>
    <t>KEY REFERENCES</t>
  </si>
  <si>
    <t>Alkan 2018</t>
  </si>
  <si>
    <t>Alkan F, Wenzel A, Anthon C, Havgaard JH, Gorodkin J. Genome Biol 2018;19:177. — The ΔG_B model and Cas9 weights.</t>
  </si>
  <si>
    <t>Sugimoto 1995</t>
  </si>
  <si>
    <t>Sugimoto N et al. Biochemistry 1995;34:11211. — RNA:DNA nearest-neighbour ΔG°37 parameters (16 dinucleotides).</t>
  </si>
  <si>
    <t>SantaLucia 1998</t>
  </si>
  <si>
    <t>SantaLucia J &amp; Hicks D. Annu Rev Biophys 2004;33:415. — DNA:DNA nearest-neighbour ΔG°37 parameters.</t>
  </si>
  <si>
    <t>Xiang 2022</t>
  </si>
  <si>
    <t>Xiang X et al. Nat Commun 2022;13:3001. — ΔG_H sweet spot -47 to -65 kcal/mol; ΔG_B optimal range -10 to -18.</t>
  </si>
  <si>
    <t>Boyle 2017</t>
  </si>
  <si>
    <t>Boyle EA et al. PNAS 2017;114:5461. — dCas9 kinetic profiling; PAM-distal mismatch tolerance.</t>
  </si>
  <si>
    <t>Farasat 2016</t>
  </si>
  <si>
    <t>Farasat I, Salis HM. PLOS Comput Biol 2016;12:e1004724. — Biophysical dCas9 occupancy model; minimum ΔG_target.</t>
  </si>
  <si>
    <t>Nunez 2021</t>
  </si>
  <si>
    <t>Nunez JK et al. Cell 2021;184:2503. — CRISPRoff v2.1 design and heritable methylation.</t>
  </si>
  <si>
    <t>Strategy</t>
  </si>
  <si>
    <t>Why it fails</t>
  </si>
  <si>
    <t>1 mismatch at PAM-distal (pos 1–8)</t>
  </si>
  <si>
    <t>Cas9 protein contacts compensate → no discrimination</t>
  </si>
  <si>
    <t>1 mismatch at PAM-proximal seed (pos 17–20)</t>
  </si>
  <si>
    <t>Works thermodynamically AND biologically</t>
  </si>
  <si>
    <t>2 mismatches, both PAM-distal</t>
  </si>
  <si>
    <t>Still often tolerated</t>
  </si>
  <si>
    <t>2 mismatches: 1 PAM-distal + 1 seed region</t>
  </si>
  <si>
    <t>Best strategy — combines thermodynamic and conformational discrimination</t>
  </si>
  <si>
    <t>Run gRNA vs MUT → ΔG_B must stay below −10</t>
  </si>
  <si>
    <t>The ideal outcome is ΔG_B(MUT) ≈ −12 and ΔG_B(WT) ≈ −8</t>
  </si>
  <si>
    <t xml:space="preserve">TCTTAAAGATAATGATAGCC </t>
  </si>
  <si>
    <t>TCTTAAAGATAATGATAGCC</t>
  </si>
  <si>
    <t>Run gRNA vs WT → ΔG_B must rise above −9</t>
  </si>
  <si>
    <t>seed region (positions 14–16, PAM-proximal),</t>
  </si>
  <si>
    <t>Position 19 an d20 are horrible and 17 and 18 carry a big binding penalty so avoid</t>
  </si>
  <si>
    <t>Position 13-8 best for added 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</si>
</sst>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154360"/>
      <name val="Arial"/>
      <family val="2"/>
    </font>
    <font>
      <b/>
      <sz val="11"/>
      <color rgb="FF000000"/>
      <name val="Arial"/>
      <family val="2"/>
    </font>
    <font>
      <b/>
      <sz val="11"/>
      <color rgb="FF00008B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45A32"/>
      <name val="Arial"/>
      <family val="2"/>
    </font>
    <font>
      <b/>
      <sz val="11"/>
      <name val="Arial"/>
      <family val="2"/>
    </font>
    <font>
      <sz val="10"/>
      <color rgb="FF4A235A"/>
      <name val="Arial"/>
      <family val="2"/>
    </font>
    <font>
      <sz val="10"/>
      <color rgb="FF7D6608"/>
      <name val="Arial"/>
      <family val="2"/>
    </font>
    <font>
      <sz val="10"/>
      <color rgb="FF145A32"/>
      <name val="Arial"/>
      <family val="2"/>
    </font>
    <font>
      <b/>
      <sz val="10"/>
      <color rgb="FF000000"/>
      <name val="Arial"/>
      <family val="2"/>
    </font>
    <font>
      <b/>
      <sz val="11"/>
      <color rgb="FF1A5276"/>
      <name val="Arial"/>
      <family val="2"/>
    </font>
    <font>
      <sz val="10"/>
      <color rgb="FF333333"/>
      <name val="Arial"/>
      <family val="2"/>
    </font>
    <font>
      <b/>
      <sz val="12"/>
      <color rgb="FF000000"/>
      <name val="Arial"/>
      <family val="2"/>
    </font>
    <font>
      <b/>
      <sz val="13"/>
      <color rgb="FF784212"/>
      <name val="Arial"/>
      <family val="2"/>
    </font>
    <font>
      <i/>
      <sz val="10"/>
      <color rgb="FF784212"/>
      <name val="Arial"/>
      <family val="2"/>
    </font>
    <font>
      <b/>
      <sz val="10"/>
      <color rgb="FF784212"/>
      <name val="Arial"/>
      <family val="2"/>
    </font>
    <font>
      <b/>
      <sz val="13"/>
      <color rgb="FF922B21"/>
      <name val="Arial"/>
      <family val="2"/>
    </font>
    <font>
      <i/>
      <sz val="10"/>
      <color rgb="FF922B21"/>
      <name val="Arial"/>
      <family val="2"/>
    </font>
    <font>
      <b/>
      <sz val="10"/>
      <color rgb="FF922B21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10"/>
      <color rgb="FF154360"/>
      <name val="Arial"/>
      <family val="2"/>
    </font>
    <font>
      <sz val="10"/>
      <color rgb="FF222222"/>
      <name val="Arial"/>
      <family val="2"/>
    </font>
    <font>
      <i/>
      <sz val="9"/>
      <color rgb="FF555555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4A235A"/>
      <name val="Arial"/>
      <family val="2"/>
    </font>
    <font>
      <sz val="11"/>
      <color rgb="FF4A235A"/>
      <name val="Arial"/>
      <family val="2"/>
    </font>
    <font>
      <sz val="11"/>
      <color rgb="FF145A32"/>
      <name val="Arial"/>
      <family val="2"/>
    </font>
    <font>
      <b/>
      <sz val="10"/>
      <color rgb="FF4A235A"/>
      <name val="Arial"/>
      <family val="2"/>
    </font>
    <font>
      <b/>
      <sz val="12"/>
      <color rgb="FF7D6608"/>
      <name val="Arial"/>
      <family val="2"/>
    </font>
    <font>
      <sz val="11"/>
      <color rgb="FF000000"/>
      <name val="Arial"/>
      <family val="2"/>
    </font>
    <font>
      <b/>
      <sz val="12"/>
      <color rgb="FF1A5276"/>
      <name val="Arial"/>
      <family val="2"/>
    </font>
    <font>
      <b/>
      <sz val="12"/>
      <color rgb="FF784212"/>
      <name val="Arial"/>
      <family val="2"/>
    </font>
    <font>
      <i/>
      <sz val="10"/>
      <color rgb="FF15436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2E75B6"/>
        <bgColor rgb="FF008080"/>
      </patternFill>
    </fill>
    <fill>
      <patternFill patternType="solid">
        <fgColor rgb="FFD6EAF8"/>
        <bgColor rgb="FFEBF5FB"/>
      </patternFill>
    </fill>
    <fill>
      <patternFill patternType="solid">
        <fgColor rgb="FFEBF5FB"/>
        <bgColor rgb="FFE8F8E8"/>
      </patternFill>
    </fill>
    <fill>
      <patternFill patternType="solid">
        <fgColor rgb="FFE8F8E8"/>
        <bgColor rgb="FFEBF5FB"/>
      </patternFill>
    </fill>
    <fill>
      <patternFill patternType="solid">
        <fgColor rgb="FFFDFEFE"/>
        <bgColor rgb="FFFFFFFF"/>
      </patternFill>
    </fill>
    <fill>
      <patternFill patternType="solid">
        <fgColor rgb="FFF5EEF8"/>
        <bgColor rgb="FFEBF5FB"/>
      </patternFill>
    </fill>
    <fill>
      <patternFill patternType="solid">
        <fgColor rgb="FFFEF9E7"/>
        <bgColor rgb="FFFDFEFE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154360"/>
        <bgColor rgb="FF1F3864"/>
      </patternFill>
    </fill>
    <fill>
      <patternFill patternType="solid">
        <fgColor rgb="FF4A235A"/>
        <bgColor rgb="FF333333"/>
      </patternFill>
    </fill>
    <fill>
      <patternFill patternType="solid">
        <fgColor rgb="FF145A32"/>
        <bgColor rgb="FF154360"/>
      </patternFill>
    </fill>
    <fill>
      <patternFill patternType="solid">
        <fgColor rgb="FF7D3C98"/>
        <bgColor rgb="FF555555"/>
      </patternFill>
    </fill>
    <fill>
      <patternFill patternType="solid">
        <fgColor rgb="FF1E8449"/>
        <bgColor rgb="FF008080"/>
      </patternFill>
    </fill>
    <fill>
      <patternFill patternType="solid">
        <fgColor rgb="FFD7BDE2"/>
        <bgColor rgb="FFCC99FF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7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center" vertical="center" wrapText="1"/>
    </xf>
    <xf numFmtId="2" fontId="11" fillId="8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/>
    </xf>
    <xf numFmtId="2" fontId="12" fillId="9" borderId="0" xfId="0" applyNumberFormat="1" applyFont="1" applyFill="1" applyAlignment="1">
      <alignment horizontal="center" vertical="center" wrapText="1"/>
    </xf>
    <xf numFmtId="2" fontId="13" fillId="6" borderId="0" xfId="0" applyNumberFormat="1" applyFont="1" applyFill="1" applyAlignment="1">
      <alignment horizontal="center" vertical="center" wrapText="1"/>
    </xf>
    <xf numFmtId="164" fontId="15" fillId="4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 wrapText="1"/>
    </xf>
    <xf numFmtId="164" fontId="18" fillId="10" borderId="0" xfId="0" applyNumberFormat="1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left" vertical="center" wrapText="1"/>
    </xf>
    <xf numFmtId="164" fontId="21" fillId="11" borderId="0" xfId="0" applyNumberFormat="1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0" fontId="30" fillId="15" borderId="0" xfId="0" applyFont="1" applyFill="1" applyAlignment="1">
      <alignment horizontal="center" vertical="center" wrapText="1"/>
    </xf>
    <xf numFmtId="0" fontId="30" fillId="16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165" fontId="31" fillId="8" borderId="0" xfId="0" applyNumberFormat="1" applyFont="1" applyFill="1" applyAlignment="1">
      <alignment horizontal="center" vertical="center" wrapText="1"/>
    </xf>
    <xf numFmtId="0" fontId="25" fillId="8" borderId="0" xfId="0" applyFont="1" applyFill="1" applyAlignment="1">
      <alignment horizontal="center" vertical="center"/>
    </xf>
    <xf numFmtId="165" fontId="32" fillId="8" borderId="0" xfId="0" applyNumberFormat="1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 wrapText="1"/>
    </xf>
    <xf numFmtId="0" fontId="25" fillId="6" borderId="0" xfId="0" applyFont="1" applyFill="1" applyAlignment="1">
      <alignment horizontal="center" vertical="center"/>
    </xf>
    <xf numFmtId="2" fontId="33" fillId="6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165" fontId="31" fillId="7" borderId="0" xfId="0" applyNumberFormat="1" applyFont="1" applyFill="1" applyAlignment="1">
      <alignment horizontal="center" vertical="center" wrapText="1"/>
    </xf>
    <xf numFmtId="0" fontId="25" fillId="7" borderId="0" xfId="0" applyFont="1" applyFill="1" applyAlignment="1">
      <alignment horizontal="center" vertical="center"/>
    </xf>
    <xf numFmtId="165" fontId="32" fillId="7" borderId="0" xfId="0" applyNumberFormat="1" applyFont="1" applyFill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2" fontId="33" fillId="7" borderId="0" xfId="0" applyNumberFormat="1" applyFont="1" applyFill="1" applyAlignment="1">
      <alignment horizontal="center" vertical="center" wrapText="1"/>
    </xf>
    <xf numFmtId="0" fontId="34" fillId="17" borderId="0" xfId="0" applyFont="1" applyFill="1"/>
    <xf numFmtId="165" fontId="31" fillId="17" borderId="0" xfId="0" applyNumberFormat="1" applyFont="1" applyFill="1"/>
    <xf numFmtId="0" fontId="25" fillId="8" borderId="0" xfId="0" applyFont="1" applyFill="1" applyAlignment="1">
      <alignment horizontal="left" vertical="center"/>
    </xf>
    <xf numFmtId="0" fontId="34" fillId="8" borderId="0" xfId="0" applyFont="1" applyFill="1" applyAlignment="1">
      <alignment horizontal="center" vertical="center" wrapText="1"/>
    </xf>
    <xf numFmtId="164" fontId="11" fillId="8" borderId="0" xfId="0" applyNumberFormat="1" applyFont="1" applyFill="1" applyAlignment="1">
      <alignment horizontal="center" vertical="center" wrapText="1"/>
    </xf>
    <xf numFmtId="164" fontId="12" fillId="8" borderId="0" xfId="0" applyNumberFormat="1" applyFont="1" applyFill="1" applyAlignment="1">
      <alignment horizontal="center" vertical="center" wrapText="1"/>
    </xf>
    <xf numFmtId="0" fontId="28" fillId="8" borderId="0" xfId="0" applyFont="1" applyFill="1" applyAlignment="1">
      <alignment horizontal="left" vertical="center" wrapText="1"/>
    </xf>
    <xf numFmtId="0" fontId="25" fillId="7" borderId="0" xfId="0" applyFont="1" applyFill="1" applyAlignment="1">
      <alignment horizontal="left" vertical="center"/>
    </xf>
    <xf numFmtId="0" fontId="34" fillId="7" borderId="0" xfId="0" applyFont="1" applyFill="1" applyAlignment="1">
      <alignment horizontal="center" vertical="center" wrapText="1"/>
    </xf>
    <xf numFmtId="164" fontId="11" fillId="7" borderId="0" xfId="0" applyNumberFormat="1" applyFont="1" applyFill="1" applyAlignment="1">
      <alignment horizontal="center" vertical="center" wrapText="1"/>
    </xf>
    <xf numFmtId="164" fontId="12" fillId="7" borderId="0" xfId="0" applyNumberFormat="1" applyFont="1" applyFill="1" applyAlignment="1">
      <alignment horizontal="center" vertical="center" wrapText="1"/>
    </xf>
    <xf numFmtId="0" fontId="28" fillId="7" borderId="0" xfId="0" applyFont="1" applyFill="1" applyAlignment="1">
      <alignment horizontal="left" vertical="center" wrapText="1"/>
    </xf>
    <xf numFmtId="164" fontId="35" fillId="9" borderId="0" xfId="0" applyNumberFormat="1" applyFont="1" applyFill="1" applyAlignment="1">
      <alignment horizontal="center" vertical="center" wrapText="1"/>
    </xf>
    <xf numFmtId="0" fontId="28" fillId="9" borderId="0" xfId="0" applyFont="1" applyFill="1" applyAlignment="1">
      <alignment horizontal="left" vertical="center"/>
    </xf>
    <xf numFmtId="164" fontId="37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164" fontId="38" fillId="10" borderId="0" xfId="0" applyNumberFormat="1" applyFont="1" applyFill="1" applyAlignment="1">
      <alignment horizontal="center" vertical="center" wrapText="1"/>
    </xf>
    <xf numFmtId="0" fontId="6" fillId="10" borderId="0" xfId="0" applyFont="1" applyFill="1" applyAlignment="1">
      <alignment horizontal="left" vertical="center" wrapText="1"/>
    </xf>
    <xf numFmtId="0" fontId="40" fillId="18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0" fillId="19" borderId="0" xfId="0" applyFill="1"/>
    <xf numFmtId="0" fontId="40" fillId="19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27" fillId="5" borderId="0" xfId="0" applyFont="1" applyFill="1" applyAlignment="1">
      <alignment horizontal="left" vertical="center" wrapText="1"/>
    </xf>
    <xf numFmtId="0" fontId="17" fillId="11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28" fillId="0" borderId="0" xfId="0" applyFont="1" applyAlignment="1">
      <alignment horizontal="left" wrapText="1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2" fontId="5" fillId="4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6" fillId="17" borderId="0" xfId="0" applyFont="1" applyFill="1"/>
    <xf numFmtId="0" fontId="7" fillId="14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39" fillId="4" borderId="0" xfId="0" applyFont="1" applyFill="1" applyAlignment="1">
      <alignment horizontal="left" wrapText="1"/>
    </xf>
    <xf numFmtId="0" fontId="4" fillId="10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B"/>
      <rgbColor rgb="FF7D6608"/>
      <rgbColor rgb="FF800080"/>
      <rgbColor rgb="FF008080"/>
      <rgbColor rgb="FFF5EEF8"/>
      <rgbColor rgb="FF808080"/>
      <rgbColor rgb="FF9999FF"/>
      <rgbColor rgb="FF7D3C98"/>
      <rgbColor rgb="FFFEF9E7"/>
      <rgbColor rgb="FFD6EAF8"/>
      <rgbColor rgb="FF4A235A"/>
      <rgbColor rgb="FFFF8080"/>
      <rgbColor rgb="FF1A5276"/>
      <rgbColor rgb="FFD7BD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8"/>
      <rgbColor rgb="FFEBF5FB"/>
      <rgbColor rgb="FFFDEBD0"/>
      <rgbColor rgb="FFFDFEFE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54360"/>
      <rgbColor rgb="FF1E8449"/>
      <rgbColor rgb="FF003300"/>
      <rgbColor rgb="FF222222"/>
      <rgbColor rgb="FF922B21"/>
      <rgbColor rgb="FF784212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zoomScale="85" zoomScaleNormal="85" workbookViewId="0">
      <pane ySplit="7" topLeftCell="A8" activePane="bottomLeft" state="frozen"/>
      <selection pane="bottomLeft" activeCell="B4" sqref="B4:U4"/>
    </sheetView>
  </sheetViews>
  <sheetFormatPr defaultColWidth="8.6640625" defaultRowHeight="14.4" x14ac:dyDescent="0.3"/>
  <cols>
    <col min="1" max="1" width="34" customWidth="1"/>
    <col min="2" max="21" width="6" customWidth="1"/>
    <col min="22" max="24" width="16" customWidth="1"/>
  </cols>
  <sheetData>
    <row r="1" spans="1:24" ht="27.75" customHeight="1" x14ac:dyDescent="0.3">
      <c r="A1" s="8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4" ht="18" customHeight="1" x14ac:dyDescent="0.3">
      <c r="A2" s="8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4" ht="21.75" customHeight="1" x14ac:dyDescent="0.3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1:24" ht="21.75" customHeight="1" x14ac:dyDescent="0.3">
      <c r="A4" s="3" t="s">
        <v>3</v>
      </c>
      <c r="B4" s="75" t="s">
        <v>255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2" t="s">
        <v>4</v>
      </c>
    </row>
    <row r="5" spans="1:24" ht="21.75" customHeight="1" x14ac:dyDescent="0.3">
      <c r="A5" s="3" t="s">
        <v>5</v>
      </c>
      <c r="B5" s="75" t="s">
        <v>254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2" t="s">
        <v>6</v>
      </c>
    </row>
    <row r="6" spans="1:24" ht="21.75" customHeight="1" x14ac:dyDescent="0.3">
      <c r="A6" s="3" t="s">
        <v>7</v>
      </c>
      <c r="B6" s="75" t="s">
        <v>8</v>
      </c>
      <c r="C6" s="71"/>
      <c r="D6" s="71"/>
      <c r="E6" s="77" t="s">
        <v>9</v>
      </c>
      <c r="F6" s="71"/>
      <c r="G6" s="71"/>
      <c r="H6" s="71"/>
      <c r="I6" s="71"/>
      <c r="J6" s="71"/>
      <c r="K6" s="71"/>
    </row>
    <row r="7" spans="1:24" ht="21.75" customHeight="1" x14ac:dyDescent="0.3">
      <c r="A7" s="3" t="s">
        <v>10</v>
      </c>
      <c r="B7" s="83">
        <v>0</v>
      </c>
      <c r="C7" s="71"/>
      <c r="D7" s="71"/>
      <c r="E7" s="77" t="s">
        <v>11</v>
      </c>
      <c r="F7" s="71"/>
      <c r="G7" s="71"/>
      <c r="H7" s="71"/>
      <c r="I7" s="71"/>
      <c r="J7" s="71"/>
      <c r="K7" s="71"/>
    </row>
    <row r="8" spans="1:24" ht="21.75" customHeight="1" x14ac:dyDescent="0.3">
      <c r="A8" s="82" t="s">
        <v>17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 spans="1:24" ht="19.5" customHeight="1" x14ac:dyDescent="0.3">
      <c r="A9" s="4" t="s">
        <v>12</v>
      </c>
      <c r="B9" s="5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</row>
    <row r="10" spans="1:24" ht="19.5" customHeight="1" x14ac:dyDescent="0.3">
      <c r="A10" s="6" t="s">
        <v>13</v>
      </c>
      <c r="B10" s="7" t="str">
        <f>IF(LEN($B$4)&gt;=1,UPPER(MID($B$4,1,1)),"")</f>
        <v>T</v>
      </c>
      <c r="C10" s="7" t="str">
        <f>IF(LEN($B$4)&gt;=2,UPPER(MID($B$4,2,1)),"")</f>
        <v>C</v>
      </c>
      <c r="D10" s="7" t="str">
        <f>IF(LEN($B$4)&gt;=3,UPPER(MID($B$4,3,1)),"")</f>
        <v>T</v>
      </c>
      <c r="E10" s="7" t="str">
        <f>IF(LEN($B$4)&gt;=4,UPPER(MID($B$4,4,1)),"")</f>
        <v>T</v>
      </c>
      <c r="F10" s="7" t="str">
        <f>IF(LEN($B$4)&gt;=5,UPPER(MID($B$4,5,1)),"")</f>
        <v>A</v>
      </c>
      <c r="G10" s="7" t="str">
        <f>IF(LEN($B$4)&gt;=6,UPPER(MID($B$4,6,1)),"")</f>
        <v>A</v>
      </c>
      <c r="H10" s="7" t="str">
        <f>IF(LEN($B$4)&gt;=7,UPPER(MID($B$4,7,1)),"")</f>
        <v>A</v>
      </c>
      <c r="I10" s="7" t="str">
        <f>IF(LEN($B$4)&gt;=8,UPPER(MID($B$4,8,1)),"")</f>
        <v>G</v>
      </c>
      <c r="J10" s="7" t="str">
        <f>IF(LEN($B$4)&gt;=9,UPPER(MID($B$4,9,1)),"")</f>
        <v>A</v>
      </c>
      <c r="K10" s="7" t="str">
        <f>IF(LEN($B$4)&gt;=10,UPPER(MID($B$4,10,1)),"")</f>
        <v>T</v>
      </c>
      <c r="L10" s="7" t="str">
        <f>IF(LEN($B$4)&gt;=11,UPPER(MID($B$4,11,1)),"")</f>
        <v>A</v>
      </c>
      <c r="M10" s="7" t="str">
        <f>IF(LEN($B$4)&gt;=12,UPPER(MID($B$4,12,1)),"")</f>
        <v>A</v>
      </c>
      <c r="N10" s="7" t="str">
        <f>IF(LEN($B$4)&gt;=13,UPPER(MID($B$4,13,1)),"")</f>
        <v>T</v>
      </c>
      <c r="O10" s="7" t="str">
        <f>IF(LEN($B$4)&gt;=14,UPPER(MID($B$4,14,1)),"")</f>
        <v>G</v>
      </c>
      <c r="P10" s="7" t="str">
        <f>IF(LEN($B$4)&gt;=15,UPPER(MID($B$4,15,1)),"")</f>
        <v>A</v>
      </c>
      <c r="Q10" s="7" t="str">
        <f>IF(LEN($B$4)&gt;=16,UPPER(MID($B$4,16,1)),"")</f>
        <v>T</v>
      </c>
      <c r="R10" s="7" t="str">
        <f>IF(LEN($B$4)&gt;=17,UPPER(MID($B$4,17,1)),"")</f>
        <v>A</v>
      </c>
      <c r="S10" s="7" t="str">
        <f>IF(LEN($B$4)&gt;=18,UPPER(MID($B$4,18,1)),"")</f>
        <v>G</v>
      </c>
      <c r="T10" s="7" t="str">
        <f>IF(LEN($B$4)&gt;=19,UPPER(MID($B$4,19,1)),"")</f>
        <v>C</v>
      </c>
      <c r="U10" s="7" t="str">
        <f>IF(LEN($B$4)&gt;=20,UPPER(MID($B$4,20,1)),"")</f>
        <v>C</v>
      </c>
    </row>
    <row r="11" spans="1:24" ht="19.5" customHeight="1" x14ac:dyDescent="0.3">
      <c r="A11" s="8" t="s">
        <v>14</v>
      </c>
      <c r="B11" s="9" t="str">
        <f>IF(LEN($B$5)&gt;=1,UPPER(MID($B$5,1,1)),"")</f>
        <v>T</v>
      </c>
      <c r="C11" s="9" t="str">
        <f>IF(LEN($B$5)&gt;=2,UPPER(MID($B$5,2,1)),"")</f>
        <v>C</v>
      </c>
      <c r="D11" s="9" t="str">
        <f>IF(LEN($B$5)&gt;=3,UPPER(MID($B$5,3,1)),"")</f>
        <v>T</v>
      </c>
      <c r="E11" s="9" t="str">
        <f>IF(LEN($B$5)&gt;=4,UPPER(MID($B$5,4,1)),"")</f>
        <v>T</v>
      </c>
      <c r="F11" s="9" t="str">
        <f>IF(LEN($B$5)&gt;=5,UPPER(MID($B$5,5,1)),"")</f>
        <v>A</v>
      </c>
      <c r="G11" s="9" t="str">
        <f>IF(LEN($B$5)&gt;=6,UPPER(MID($B$5,6,1)),"")</f>
        <v>A</v>
      </c>
      <c r="H11" s="9" t="str">
        <f>IF(LEN($B$5)&gt;=7,UPPER(MID($B$5,7,1)),"")</f>
        <v>A</v>
      </c>
      <c r="I11" s="9" t="str">
        <f>IF(LEN($B$5)&gt;=8,UPPER(MID($B$5,8,1)),"")</f>
        <v>G</v>
      </c>
      <c r="J11" s="9" t="str">
        <f>IF(LEN($B$5)&gt;=9,UPPER(MID($B$5,9,1)),"")</f>
        <v>A</v>
      </c>
      <c r="K11" s="9" t="str">
        <f>IF(LEN($B$5)&gt;=10,UPPER(MID($B$5,10,1)),"")</f>
        <v>T</v>
      </c>
      <c r="L11" s="9" t="str">
        <f>IF(LEN($B$5)&gt;=11,UPPER(MID($B$5,11,1)),"")</f>
        <v>A</v>
      </c>
      <c r="M11" s="9" t="str">
        <f>IF(LEN($B$5)&gt;=12,UPPER(MID($B$5,12,1)),"")</f>
        <v>A</v>
      </c>
      <c r="N11" s="9" t="str">
        <f>IF(LEN($B$5)&gt;=13,UPPER(MID($B$5,13,1)),"")</f>
        <v>T</v>
      </c>
      <c r="O11" s="9" t="str">
        <f>IF(LEN($B$5)&gt;=14,UPPER(MID($B$5,14,1)),"")</f>
        <v>G</v>
      </c>
      <c r="P11" s="9" t="str">
        <f>IF(LEN($B$5)&gt;=15,UPPER(MID($B$5,15,1)),"")</f>
        <v>A</v>
      </c>
      <c r="Q11" s="9" t="str">
        <f>IF(LEN($B$5)&gt;=16,UPPER(MID($B$5,16,1)),"")</f>
        <v>T</v>
      </c>
      <c r="R11" s="9" t="str">
        <f>IF(LEN($B$5)&gt;=17,UPPER(MID($B$5,17,1)),"")</f>
        <v>A</v>
      </c>
      <c r="S11" s="9" t="str">
        <f>IF(LEN($B$5)&gt;=18,UPPER(MID($B$5,18,1)),"")</f>
        <v>G</v>
      </c>
      <c r="T11" s="9" t="str">
        <f>IF(LEN($B$5)&gt;=19,UPPER(MID($B$5,19,1)),"")</f>
        <v>C</v>
      </c>
      <c r="U11" s="9" t="str">
        <f>IF(LEN($B$5)&gt;=20,UPPER(MID($B$5,20,1)),"")</f>
        <v>C</v>
      </c>
    </row>
    <row r="12" spans="1:24" ht="19.5" customHeight="1" x14ac:dyDescent="0.3">
      <c r="A12" s="10" t="s">
        <v>15</v>
      </c>
      <c r="B12" s="11" t="str">
        <f t="shared" ref="B12:U12" si="0">IF(OR(B10="",B11=""),"",IF(B10=B11,"✓","✗"))</f>
        <v>✓</v>
      </c>
      <c r="C12" s="11" t="str">
        <f t="shared" si="0"/>
        <v>✓</v>
      </c>
      <c r="D12" s="11" t="str">
        <f t="shared" si="0"/>
        <v>✓</v>
      </c>
      <c r="E12" s="11" t="str">
        <f t="shared" si="0"/>
        <v>✓</v>
      </c>
      <c r="F12" s="11" t="str">
        <f t="shared" si="0"/>
        <v>✓</v>
      </c>
      <c r="G12" s="11" t="str">
        <f t="shared" si="0"/>
        <v>✓</v>
      </c>
      <c r="H12" s="11" t="str">
        <f t="shared" si="0"/>
        <v>✓</v>
      </c>
      <c r="I12" s="11" t="str">
        <f t="shared" si="0"/>
        <v>✓</v>
      </c>
      <c r="J12" s="11" t="str">
        <f t="shared" si="0"/>
        <v>✓</v>
      </c>
      <c r="K12" s="11" t="str">
        <f t="shared" si="0"/>
        <v>✓</v>
      </c>
      <c r="L12" s="11" t="str">
        <f t="shared" si="0"/>
        <v>✓</v>
      </c>
      <c r="M12" s="11" t="str">
        <f t="shared" si="0"/>
        <v>✓</v>
      </c>
      <c r="N12" s="11" t="str">
        <f t="shared" si="0"/>
        <v>✓</v>
      </c>
      <c r="O12" s="11" t="str">
        <f t="shared" si="0"/>
        <v>✓</v>
      </c>
      <c r="P12" s="11" t="str">
        <f t="shared" si="0"/>
        <v>✓</v>
      </c>
      <c r="Q12" s="11" t="str">
        <f t="shared" si="0"/>
        <v>✓</v>
      </c>
      <c r="R12" s="11" t="str">
        <f t="shared" si="0"/>
        <v>✓</v>
      </c>
      <c r="S12" s="11" t="str">
        <f t="shared" si="0"/>
        <v>✓</v>
      </c>
      <c r="T12" s="11" t="str">
        <f t="shared" si="0"/>
        <v>✓</v>
      </c>
      <c r="U12" s="11" t="str">
        <f t="shared" si="0"/>
        <v>✓</v>
      </c>
    </row>
    <row r="13" spans="1:24" ht="19.5" customHeight="1" x14ac:dyDescent="0.3">
      <c r="A13" s="12" t="s">
        <v>16</v>
      </c>
      <c r="B13" s="13" t="str">
        <f t="shared" ref="B13:T13" si="1">IF(OR(B10="",C10=""),"",B10&amp;C10)</f>
        <v>TC</v>
      </c>
      <c r="C13" s="13" t="str">
        <f t="shared" si="1"/>
        <v>CT</v>
      </c>
      <c r="D13" s="13" t="str">
        <f t="shared" si="1"/>
        <v>TT</v>
      </c>
      <c r="E13" s="13" t="str">
        <f t="shared" si="1"/>
        <v>TA</v>
      </c>
      <c r="F13" s="13" t="str">
        <f t="shared" si="1"/>
        <v>AA</v>
      </c>
      <c r="G13" s="13" t="str">
        <f t="shared" si="1"/>
        <v>AA</v>
      </c>
      <c r="H13" s="13" t="str">
        <f t="shared" si="1"/>
        <v>AG</v>
      </c>
      <c r="I13" s="13" t="str">
        <f t="shared" si="1"/>
        <v>GA</v>
      </c>
      <c r="J13" s="13" t="str">
        <f t="shared" si="1"/>
        <v>AT</v>
      </c>
      <c r="K13" s="13" t="str">
        <f t="shared" si="1"/>
        <v>TA</v>
      </c>
      <c r="L13" s="13" t="str">
        <f t="shared" si="1"/>
        <v>AA</v>
      </c>
      <c r="M13" s="13" t="str">
        <f t="shared" si="1"/>
        <v>AT</v>
      </c>
      <c r="N13" s="13" t="str">
        <f t="shared" si="1"/>
        <v>TG</v>
      </c>
      <c r="O13" s="13" t="str">
        <f t="shared" si="1"/>
        <v>GA</v>
      </c>
      <c r="P13" s="13" t="str">
        <f t="shared" si="1"/>
        <v>AT</v>
      </c>
      <c r="Q13" s="13" t="str">
        <f t="shared" si="1"/>
        <v>TA</v>
      </c>
      <c r="R13" s="13" t="str">
        <f t="shared" si="1"/>
        <v>AG</v>
      </c>
      <c r="S13" s="13" t="str">
        <f t="shared" si="1"/>
        <v>GC</v>
      </c>
      <c r="T13" s="13" t="str">
        <f t="shared" si="1"/>
        <v>CC</v>
      </c>
    </row>
    <row r="14" spans="1:24" ht="19.5" customHeight="1" x14ac:dyDescent="0.3">
      <c r="A14" s="12" t="s">
        <v>17</v>
      </c>
      <c r="B14" s="14">
        <f>IF(B10&lt;&gt;B11,IFERROR(VLOOKUP(B10&amp;INDEX(Params!$K$4:$K$7,MATCH(B11,Params!$J$4:$J$7,0)),Params!$M$4:$N$15,2,0),1),IFERROR(VLOOKUP(B13,Params!$A$4:$B$19,2,0),IFERROR(VLOOKUP(B13,Params!$C$4:$D$19,2,0),0)))</f>
        <v>-1.6</v>
      </c>
      <c r="C14" s="14">
        <f>IF(C10&lt;&gt;C11,IFERROR(VLOOKUP(C10&amp;INDEX(Params!$K$4:$K$7,MATCH(C11,Params!$J$4:$J$7,0)),Params!$M$4:$N$15,2,0),1),IFERROR(VLOOKUP(C13,Params!$A$4:$B$19,2,0),IFERROR(VLOOKUP(C13,Params!$C$4:$D$19,2,0),0)))</f>
        <v>-0.9</v>
      </c>
      <c r="D14" s="14">
        <f>IF(D10&lt;&gt;D11,IFERROR(VLOOKUP(D10&amp;INDEX(Params!$K$4:$K$7,MATCH(D11,Params!$J$4:$J$7,0)),Params!$M$4:$N$15,2,0),1),IFERROR(VLOOKUP(D13,Params!$A$4:$B$19,2,0),IFERROR(VLOOKUP(D13,Params!$C$4:$D$19,2,0),0)))</f>
        <v>-0.2</v>
      </c>
      <c r="E14" s="14">
        <f>IF(E10&lt;&gt;E11,IFERROR(VLOOKUP(E10&amp;INDEX(Params!$K$4:$K$7,MATCH(E11,Params!$J$4:$J$7,0)),Params!$M$4:$N$15,2,0),1),IFERROR(VLOOKUP(E13,Params!$A$4:$B$19,2,0),IFERROR(VLOOKUP(E13,Params!$C$4:$D$19,2,0),0)))</f>
        <v>-0.6</v>
      </c>
      <c r="F14" s="14">
        <f>IF(F10&lt;&gt;F11,IFERROR(VLOOKUP(F10&amp;INDEX(Params!$K$4:$K$7,MATCH(F11,Params!$J$4:$J$7,0)),Params!$M$4:$N$15,2,0),1),IFERROR(VLOOKUP(F13,Params!$A$4:$B$19,2,0),IFERROR(VLOOKUP(F13,Params!$C$4:$D$19,2,0),0)))</f>
        <v>-1</v>
      </c>
      <c r="G14" s="14">
        <f>IF(G10&lt;&gt;G11,IFERROR(VLOOKUP(G10&amp;INDEX(Params!$K$4:$K$7,MATCH(G11,Params!$J$4:$J$7,0)),Params!$M$4:$N$15,2,0),1),IFERROR(VLOOKUP(G13,Params!$A$4:$B$19,2,0),IFERROR(VLOOKUP(G13,Params!$C$4:$D$19,2,0),0)))</f>
        <v>-1</v>
      </c>
      <c r="H14" s="14">
        <f>IF(H10&lt;&gt;H11,IFERROR(VLOOKUP(H10&amp;INDEX(Params!$K$4:$K$7,MATCH(H11,Params!$J$4:$J$7,0)),Params!$M$4:$N$15,2,0),1),IFERROR(VLOOKUP(H13,Params!$A$4:$B$19,2,0),IFERROR(VLOOKUP(H13,Params!$C$4:$D$19,2,0),0)))</f>
        <v>-1.8</v>
      </c>
      <c r="I14" s="14">
        <f>IF(I10&lt;&gt;I11,IFERROR(VLOOKUP(I10&amp;INDEX(Params!$K$4:$K$7,MATCH(I11,Params!$J$4:$J$7,0)),Params!$M$4:$N$15,2,0),1),IFERROR(VLOOKUP(I13,Params!$A$4:$B$19,2,0),IFERROR(VLOOKUP(I13,Params!$C$4:$D$19,2,0),0)))</f>
        <v>-1.3</v>
      </c>
      <c r="J14" s="14">
        <f>IF(J10&lt;&gt;J11,IFERROR(VLOOKUP(J10&amp;INDEX(Params!$K$4:$K$7,MATCH(J11,Params!$J$4:$J$7,0)),Params!$M$4:$N$15,2,0),1),IFERROR(VLOOKUP(J13,Params!$A$4:$B$19,2,0),IFERROR(VLOOKUP(J13,Params!$C$4:$D$19,2,0),0)))</f>
        <v>-0.9</v>
      </c>
      <c r="K14" s="14">
        <f>IF(K10&lt;&gt;K11,IFERROR(VLOOKUP(K10&amp;INDEX(Params!$K$4:$K$7,MATCH(K11,Params!$J$4:$J$7,0)),Params!$M$4:$N$15,2,0),1),IFERROR(VLOOKUP(K13,Params!$A$4:$B$19,2,0),IFERROR(VLOOKUP(K13,Params!$C$4:$D$19,2,0),0)))</f>
        <v>-0.6</v>
      </c>
      <c r="L14" s="14">
        <f>IF(L10&lt;&gt;L11,IFERROR(VLOOKUP(L10&amp;INDEX(Params!$K$4:$K$7,MATCH(L11,Params!$J$4:$J$7,0)),Params!$M$4:$N$15,2,0),1),IFERROR(VLOOKUP(L13,Params!$A$4:$B$19,2,0),IFERROR(VLOOKUP(L13,Params!$C$4:$D$19,2,0),0)))</f>
        <v>-1</v>
      </c>
      <c r="M14" s="14">
        <f>IF(M10&lt;&gt;M11,IFERROR(VLOOKUP(M10&amp;INDEX(Params!$K$4:$K$7,MATCH(M11,Params!$J$4:$J$7,0)),Params!$M$4:$N$15,2,0),1),IFERROR(VLOOKUP(M13,Params!$A$4:$B$19,2,0),IFERROR(VLOOKUP(M13,Params!$C$4:$D$19,2,0),0)))</f>
        <v>-0.9</v>
      </c>
      <c r="N14" s="14">
        <f>IF(N10&lt;&gt;N11,IFERROR(VLOOKUP(N10&amp;INDEX(Params!$K$4:$K$7,MATCH(N11,Params!$J$4:$J$7,0)),Params!$M$4:$N$15,2,0),1),IFERROR(VLOOKUP(N13,Params!$A$4:$B$19,2,0),IFERROR(VLOOKUP(N13,Params!$C$4:$D$19,2,0),0)))</f>
        <v>-1.4</v>
      </c>
      <c r="O14" s="14">
        <f>IF(O10&lt;&gt;O11,IFERROR(VLOOKUP(O10&amp;INDEX(Params!$K$4:$K$7,MATCH(O11,Params!$J$4:$J$7,0)),Params!$M$4:$N$15,2,0),1),IFERROR(VLOOKUP(O13,Params!$A$4:$B$19,2,0),IFERROR(VLOOKUP(O13,Params!$C$4:$D$19,2,0),0)))</f>
        <v>-1.3</v>
      </c>
      <c r="P14" s="14">
        <f>IF(P10&lt;&gt;P11,IFERROR(VLOOKUP(P10&amp;INDEX(Params!$K$4:$K$7,MATCH(P11,Params!$J$4:$J$7,0)),Params!$M$4:$N$15,2,0),1),IFERROR(VLOOKUP(P13,Params!$A$4:$B$19,2,0),IFERROR(VLOOKUP(P13,Params!$C$4:$D$19,2,0),0)))</f>
        <v>-0.9</v>
      </c>
      <c r="Q14" s="14">
        <f>IF(Q10&lt;&gt;Q11,IFERROR(VLOOKUP(Q10&amp;INDEX(Params!$K$4:$K$7,MATCH(Q11,Params!$J$4:$J$7,0)),Params!$M$4:$N$15,2,0),1),IFERROR(VLOOKUP(Q13,Params!$A$4:$B$19,2,0),IFERROR(VLOOKUP(Q13,Params!$C$4:$D$19,2,0),0)))</f>
        <v>-0.6</v>
      </c>
      <c r="R14" s="14">
        <f>IF(R10&lt;&gt;R11,IFERROR(VLOOKUP(R10&amp;INDEX(Params!$K$4:$K$7,MATCH(R11,Params!$J$4:$J$7,0)),Params!$M$4:$N$15,2,0),1),IFERROR(VLOOKUP(R13,Params!$A$4:$B$19,2,0),IFERROR(VLOOKUP(R13,Params!$C$4:$D$19,2,0),0)))</f>
        <v>-1.8</v>
      </c>
      <c r="S14" s="14">
        <f>IF(S10&lt;&gt;S11,IFERROR(VLOOKUP(S10&amp;INDEX(Params!$K$4:$K$7,MATCH(S11,Params!$J$4:$J$7,0)),Params!$M$4:$N$15,2,0),1),IFERROR(VLOOKUP(S13,Params!$A$4:$B$19,2,0),IFERROR(VLOOKUP(S13,Params!$C$4:$D$19,2,0),0)))</f>
        <v>-2.7</v>
      </c>
      <c r="T14" s="14">
        <f>IF(T10&lt;&gt;T11,IFERROR(VLOOKUP(T10&amp;INDEX(Params!$K$4:$K$7,MATCH(T11,Params!$J$4:$J$7,0)),Params!$M$4:$N$15,2,0),1),IFERROR(VLOOKUP(T13,Params!$A$4:$B$19,2,0),IFERROR(VLOOKUP(T13,Params!$C$4:$D$19,2,0),0)))</f>
        <v>-2.1</v>
      </c>
    </row>
    <row r="15" spans="1:24" ht="19.5" customHeight="1" x14ac:dyDescent="0.3">
      <c r="A15" s="15" t="s">
        <v>18</v>
      </c>
      <c r="B15" s="16">
        <v>1.8</v>
      </c>
      <c r="C15" s="16">
        <v>1.96</v>
      </c>
      <c r="D15" s="16">
        <v>1.9</v>
      </c>
      <c r="E15" s="16">
        <v>2.13</v>
      </c>
      <c r="F15" s="16">
        <v>1.38</v>
      </c>
      <c r="G15" s="16">
        <v>1.46</v>
      </c>
      <c r="H15" s="16">
        <v>1</v>
      </c>
      <c r="I15" s="16">
        <v>1.39</v>
      </c>
      <c r="J15" s="16">
        <v>1.51</v>
      </c>
      <c r="K15" s="16">
        <v>1.98</v>
      </c>
      <c r="L15" s="16">
        <v>1.88</v>
      </c>
      <c r="M15" s="16">
        <v>1.72</v>
      </c>
      <c r="N15" s="16">
        <v>2.02</v>
      </c>
      <c r="O15" s="16">
        <v>1.93</v>
      </c>
      <c r="P15" s="16">
        <v>2.08</v>
      </c>
      <c r="Q15" s="16">
        <v>1.94</v>
      </c>
      <c r="R15" s="16">
        <v>2.15</v>
      </c>
      <c r="S15" s="16">
        <v>2.04</v>
      </c>
      <c r="T15" s="16">
        <v>2.25</v>
      </c>
    </row>
    <row r="16" spans="1:24" ht="19.5" customHeight="1" x14ac:dyDescent="0.3">
      <c r="A16" s="15" t="s">
        <v>19</v>
      </c>
      <c r="B16" s="16">
        <f t="shared" ref="B16:T16" si="2">B15*B14</f>
        <v>-2.8800000000000003</v>
      </c>
      <c r="C16" s="16">
        <f t="shared" si="2"/>
        <v>-1.764</v>
      </c>
      <c r="D16" s="16">
        <f t="shared" si="2"/>
        <v>-0.38</v>
      </c>
      <c r="E16" s="16">
        <f t="shared" si="2"/>
        <v>-1.2779999999999998</v>
      </c>
      <c r="F16" s="16">
        <f t="shared" si="2"/>
        <v>-1.38</v>
      </c>
      <c r="G16" s="16">
        <f t="shared" si="2"/>
        <v>-1.46</v>
      </c>
      <c r="H16" s="16">
        <f t="shared" si="2"/>
        <v>-1.8</v>
      </c>
      <c r="I16" s="16">
        <f t="shared" si="2"/>
        <v>-1.8069999999999999</v>
      </c>
      <c r="J16" s="16">
        <f t="shared" si="2"/>
        <v>-1.359</v>
      </c>
      <c r="K16" s="16">
        <f t="shared" si="2"/>
        <v>-1.1879999999999999</v>
      </c>
      <c r="L16" s="16">
        <f t="shared" si="2"/>
        <v>-1.88</v>
      </c>
      <c r="M16" s="16">
        <f t="shared" si="2"/>
        <v>-1.548</v>
      </c>
      <c r="N16" s="16">
        <f t="shared" si="2"/>
        <v>-2.8279999999999998</v>
      </c>
      <c r="O16" s="16">
        <f t="shared" si="2"/>
        <v>-2.5089999999999999</v>
      </c>
      <c r="P16" s="16">
        <f t="shared" si="2"/>
        <v>-1.8720000000000001</v>
      </c>
      <c r="Q16" s="16">
        <f t="shared" si="2"/>
        <v>-1.1639999999999999</v>
      </c>
      <c r="R16" s="16">
        <f t="shared" si="2"/>
        <v>-3.87</v>
      </c>
      <c r="S16" s="16">
        <f t="shared" si="2"/>
        <v>-5.5080000000000009</v>
      </c>
      <c r="T16" s="16">
        <f t="shared" si="2"/>
        <v>-4.7250000000000005</v>
      </c>
    </row>
    <row r="17" spans="1:24" ht="19.5" customHeight="1" x14ac:dyDescent="0.3">
      <c r="A17" s="8" t="s">
        <v>20</v>
      </c>
      <c r="B17" s="17">
        <f>IFERROR(VLOOKUP(B11&amp;C11,Params!$F$4:$G$13,2,0),IFERROR(VLOOKUP(B11&amp;C11,Params!$H$4:$I$13,2,0),0))</f>
        <v>-1.3</v>
      </c>
      <c r="C17" s="17">
        <f>IFERROR(VLOOKUP(C11&amp;D11,Params!$F$4:$G$13,2,0),IFERROR(VLOOKUP(C11&amp;D11,Params!$H$4:$I$13,2,0),0))</f>
        <v>-1.28</v>
      </c>
      <c r="D17" s="17">
        <f>IFERROR(VLOOKUP(D11&amp;E11,Params!$F$4:$G$13,2,0),IFERROR(VLOOKUP(D11&amp;E11,Params!$H$4:$I$13,2,0),0))</f>
        <v>-1</v>
      </c>
      <c r="E17" s="17">
        <f>IFERROR(VLOOKUP(E11&amp;F11,Params!$F$4:$G$13,2,0),IFERROR(VLOOKUP(E11&amp;F11,Params!$H$4:$I$13,2,0),0))</f>
        <v>-0.57999999999999996</v>
      </c>
      <c r="F17" s="17">
        <f>IFERROR(VLOOKUP(F11&amp;G11,Params!$F$4:$G$13,2,0),IFERROR(VLOOKUP(F11&amp;G11,Params!$H$4:$I$13,2,0),0))</f>
        <v>-1</v>
      </c>
      <c r="G17" s="17">
        <f>IFERROR(VLOOKUP(G11&amp;H11,Params!$F$4:$G$13,2,0),IFERROR(VLOOKUP(G11&amp;H11,Params!$H$4:$I$13,2,0),0))</f>
        <v>-1</v>
      </c>
      <c r="H17" s="17">
        <f>IFERROR(VLOOKUP(H11&amp;I11,Params!$F$4:$G$13,2,0),IFERROR(VLOOKUP(H11&amp;I11,Params!$H$4:$I$13,2,0),0))</f>
        <v>-1.28</v>
      </c>
      <c r="I17" s="17">
        <f>IFERROR(VLOOKUP(I11&amp;J11,Params!$F$4:$G$13,2,0),IFERROR(VLOOKUP(I11&amp;J11,Params!$H$4:$I$13,2,0),0))</f>
        <v>-1.3</v>
      </c>
      <c r="J17" s="17">
        <f>IFERROR(VLOOKUP(J11&amp;K11,Params!$F$4:$G$13,2,0),IFERROR(VLOOKUP(J11&amp;K11,Params!$H$4:$I$13,2,0),0))</f>
        <v>-0.88</v>
      </c>
      <c r="K17" s="17">
        <f>IFERROR(VLOOKUP(K11&amp;L11,Params!$F$4:$G$13,2,0),IFERROR(VLOOKUP(K11&amp;L11,Params!$H$4:$I$13,2,0),0))</f>
        <v>-0.57999999999999996</v>
      </c>
      <c r="L17" s="17">
        <f>IFERROR(VLOOKUP(L11&amp;M11,Params!$F$4:$G$13,2,0),IFERROR(VLOOKUP(L11&amp;M11,Params!$H$4:$I$13,2,0),0))</f>
        <v>-1</v>
      </c>
      <c r="M17" s="17">
        <f>IFERROR(VLOOKUP(M11&amp;N11,Params!$F$4:$G$13,2,0),IFERROR(VLOOKUP(M11&amp;N11,Params!$H$4:$I$13,2,0),0))</f>
        <v>-0.88</v>
      </c>
      <c r="N17" s="17">
        <f>IFERROR(VLOOKUP(N11&amp;O11,Params!$F$4:$G$13,2,0),IFERROR(VLOOKUP(N11&amp;O11,Params!$H$4:$I$13,2,0),0))</f>
        <v>-1.44</v>
      </c>
      <c r="O17" s="17">
        <f>IFERROR(VLOOKUP(O11&amp;P11,Params!$F$4:$G$13,2,0),IFERROR(VLOOKUP(O11&amp;P11,Params!$H$4:$I$13,2,0),0))</f>
        <v>-1.3</v>
      </c>
      <c r="P17" s="17">
        <f>IFERROR(VLOOKUP(P11&amp;Q11,Params!$F$4:$G$13,2,0),IFERROR(VLOOKUP(P11&amp;Q11,Params!$H$4:$I$13,2,0),0))</f>
        <v>-0.88</v>
      </c>
      <c r="Q17" s="17">
        <f>IFERROR(VLOOKUP(Q11&amp;R11,Params!$F$4:$G$13,2,0),IFERROR(VLOOKUP(Q11&amp;R11,Params!$H$4:$I$13,2,0),0))</f>
        <v>-0.57999999999999996</v>
      </c>
      <c r="R17" s="17">
        <f>IFERROR(VLOOKUP(R11&amp;S11,Params!$F$4:$G$13,2,0),IFERROR(VLOOKUP(R11&amp;S11,Params!$H$4:$I$13,2,0),0))</f>
        <v>-1.28</v>
      </c>
      <c r="S17" s="17">
        <f>IFERROR(VLOOKUP(S11&amp;T11,Params!$F$4:$G$13,2,0),IFERROR(VLOOKUP(S11&amp;T11,Params!$H$4:$I$13,2,0),0))</f>
        <v>-2.2400000000000002</v>
      </c>
      <c r="T17" s="17">
        <f>IFERROR(VLOOKUP(T11&amp;U11,Params!$F$4:$G$13,2,0),IFERROR(VLOOKUP(T11&amp;U11,Params!$H$4:$I$13,2,0),0))</f>
        <v>-1.84</v>
      </c>
    </row>
    <row r="18" spans="1:24" ht="21.75" customHeight="1" x14ac:dyDescent="0.3">
      <c r="A18" s="79" t="s">
        <v>21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spans="1:24" ht="31.5" customHeight="1" x14ac:dyDescent="0.3">
      <c r="A19" s="74" t="s">
        <v>22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18">
        <f>SUM(B16:T16)</f>
        <v>-41.20000000000001</v>
      </c>
      <c r="W19" s="19" t="s">
        <v>23</v>
      </c>
      <c r="X19" s="20" t="s">
        <v>24</v>
      </c>
    </row>
    <row r="20" spans="1:24" ht="31.5" customHeight="1" x14ac:dyDescent="0.3">
      <c r="A20" s="74" t="s">
        <v>25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18">
        <f>3.1</f>
        <v>3.1</v>
      </c>
      <c r="W20" s="19" t="s">
        <v>23</v>
      </c>
      <c r="X20" s="20" t="s">
        <v>26</v>
      </c>
    </row>
    <row r="21" spans="1:24" ht="31.5" customHeight="1" x14ac:dyDescent="0.3">
      <c r="A21" s="74" t="s">
        <v>27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18">
        <f>V19+V20</f>
        <v>-38.100000000000009</v>
      </c>
      <c r="W21" s="19" t="s">
        <v>23</v>
      </c>
      <c r="X21" s="20" t="s">
        <v>28</v>
      </c>
    </row>
    <row r="22" spans="1:24" ht="31.5" customHeight="1" x14ac:dyDescent="0.3">
      <c r="A22" s="74" t="s">
        <v>29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18">
        <f>SUM(B17:T17)</f>
        <v>-21.640000000000004</v>
      </c>
      <c r="W22" s="19" t="s">
        <v>23</v>
      </c>
      <c r="X22" s="20" t="s">
        <v>30</v>
      </c>
    </row>
    <row r="23" spans="1:24" ht="31.5" customHeight="1" x14ac:dyDescent="0.3">
      <c r="A23" s="74" t="s">
        <v>31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18">
        <f>$B$7</f>
        <v>0</v>
      </c>
      <c r="W23" s="19" t="s">
        <v>23</v>
      </c>
      <c r="X23" s="20" t="s">
        <v>32</v>
      </c>
    </row>
    <row r="24" spans="1:24" ht="31.5" customHeight="1" x14ac:dyDescent="0.3">
      <c r="A24" s="74" t="s">
        <v>33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18">
        <f>IF(UPPER($B$6)="NGG",1,IF(UPPER($B$6)="NAG",0.9,IF(UPPER($B$6)="NGA",0.8,1)))</f>
        <v>1</v>
      </c>
      <c r="W24" s="19" t="s">
        <v>34</v>
      </c>
      <c r="X24" s="20" t="s">
        <v>35</v>
      </c>
    </row>
    <row r="25" spans="1:24" ht="36" customHeight="1" x14ac:dyDescent="0.3">
      <c r="A25" s="76" t="s">
        <v>36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21">
        <f>V24*(V21-V23-V22)</f>
        <v>-16.460000000000004</v>
      </c>
      <c r="W25" s="22" t="s">
        <v>23</v>
      </c>
      <c r="X25" s="23" t="s">
        <v>37</v>
      </c>
    </row>
    <row r="26" spans="1:24" ht="36" customHeight="1" x14ac:dyDescent="0.3">
      <c r="A26" s="73" t="s">
        <v>38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24">
        <f>0-V25</f>
        <v>16.460000000000004</v>
      </c>
      <c r="W26" s="25" t="s">
        <v>23</v>
      </c>
      <c r="X26" s="26" t="s">
        <v>39</v>
      </c>
    </row>
    <row r="27" spans="1:24" ht="27.75" customHeight="1" x14ac:dyDescent="0.3">
      <c r="A27" s="74" t="s">
        <v>40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27">
        <f>COUNTIF(B12:U12,"✗")</f>
        <v>0</v>
      </c>
      <c r="W27" s="19" t="s">
        <v>41</v>
      </c>
      <c r="X27" s="28" t="s">
        <v>42</v>
      </c>
    </row>
    <row r="28" spans="1:24" ht="27.75" customHeight="1" x14ac:dyDescent="0.3">
      <c r="A28" s="74" t="s">
        <v>43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29" t="str">
        <f>IF(V25&lt;=-10,"YES – will bind","NO – too weak")</f>
        <v>YES – will bind</v>
      </c>
      <c r="W28" s="30"/>
      <c r="X28" s="28" t="s">
        <v>44</v>
      </c>
    </row>
    <row r="30" spans="1:24" ht="21.75" customHeight="1" x14ac:dyDescent="0.3">
      <c r="A30" s="84" t="s">
        <v>45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 spans="1:24" ht="25.5" customHeight="1" x14ac:dyDescent="0.3">
      <c r="A31" s="31" t="s">
        <v>46</v>
      </c>
      <c r="B31" s="72" t="s">
        <v>47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 spans="1:24" ht="25.5" customHeight="1" x14ac:dyDescent="0.3">
      <c r="A32" s="31" t="s">
        <v>48</v>
      </c>
      <c r="B32" s="72" t="s">
        <v>49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 spans="1:24" ht="25.5" customHeight="1" x14ac:dyDescent="0.3">
      <c r="A33" s="31" t="s">
        <v>50</v>
      </c>
      <c r="B33" s="72" t="s">
        <v>51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</row>
    <row r="34" spans="1:24" ht="25.5" customHeight="1" x14ac:dyDescent="0.3">
      <c r="A34" s="31" t="s">
        <v>52</v>
      </c>
      <c r="B34" s="72" t="s">
        <v>53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</row>
    <row r="35" spans="1:24" ht="25.5" customHeight="1" x14ac:dyDescent="0.3">
      <c r="A35" s="31" t="s">
        <v>54</v>
      </c>
      <c r="B35" s="72" t="s">
        <v>55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</row>
    <row r="36" spans="1:24" ht="25.5" customHeight="1" x14ac:dyDescent="0.3">
      <c r="A36" s="31" t="s">
        <v>56</v>
      </c>
      <c r="B36" s="72" t="s">
        <v>57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 spans="1:24" ht="25.5" customHeight="1" x14ac:dyDescent="0.3">
      <c r="A37" s="31" t="s">
        <v>58</v>
      </c>
      <c r="B37" s="72" t="s">
        <v>59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 spans="1:24" ht="25.5" customHeight="1" x14ac:dyDescent="0.3">
      <c r="A38" s="31" t="s">
        <v>60</v>
      </c>
      <c r="B38" s="72" t="s">
        <v>61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 spans="1:24" ht="25.5" customHeight="1" x14ac:dyDescent="0.3">
      <c r="A39" s="31" t="s">
        <v>62</v>
      </c>
      <c r="B39" s="72" t="s">
        <v>63</v>
      </c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1" spans="1:24" ht="36" customHeight="1" x14ac:dyDescent="0.3">
      <c r="A41" s="78" t="s">
        <v>64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</sheetData>
  <mergeCells count="32">
    <mergeCell ref="A1:X1"/>
    <mergeCell ref="B5:U5"/>
    <mergeCell ref="A2:X2"/>
    <mergeCell ref="B39:X39"/>
    <mergeCell ref="A8:X8"/>
    <mergeCell ref="A23:U23"/>
    <mergeCell ref="B6:D6"/>
    <mergeCell ref="A22:U22"/>
    <mergeCell ref="A20:U20"/>
    <mergeCell ref="A19:U19"/>
    <mergeCell ref="B38:X38"/>
    <mergeCell ref="A28:U28"/>
    <mergeCell ref="B7:D7"/>
    <mergeCell ref="B37:X37"/>
    <mergeCell ref="B34:X34"/>
    <mergeCell ref="A30:X30"/>
    <mergeCell ref="A41:X41"/>
    <mergeCell ref="E7:K7"/>
    <mergeCell ref="A27:U27"/>
    <mergeCell ref="A18:X18"/>
    <mergeCell ref="B36:X36"/>
    <mergeCell ref="B35:X35"/>
    <mergeCell ref="A3:X3"/>
    <mergeCell ref="B31:X31"/>
    <mergeCell ref="A26:U26"/>
    <mergeCell ref="A21:U21"/>
    <mergeCell ref="B33:X33"/>
    <mergeCell ref="B32:X32"/>
    <mergeCell ref="B4:U4"/>
    <mergeCell ref="A25:U25"/>
    <mergeCell ref="A24:U24"/>
    <mergeCell ref="E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4" customWidth="1"/>
    <col min="3" max="3" width="20" customWidth="1"/>
    <col min="4" max="4" width="14" customWidth="1"/>
    <col min="5" max="5" width="4" customWidth="1"/>
    <col min="6" max="6" width="18" customWidth="1"/>
    <col min="7" max="7" width="14" customWidth="1"/>
    <col min="8" max="8" width="18" customWidth="1"/>
    <col min="9" max="9" width="14" customWidth="1"/>
  </cols>
  <sheetData>
    <row r="1" spans="1:16" ht="25.5" customHeight="1" x14ac:dyDescent="0.3">
      <c r="A1" s="87" t="s">
        <v>65</v>
      </c>
      <c r="B1" s="71"/>
      <c r="C1" s="71"/>
      <c r="D1" s="71"/>
      <c r="E1" s="71"/>
      <c r="F1" s="71"/>
      <c r="G1" s="71"/>
      <c r="H1" s="71"/>
      <c r="I1" s="71"/>
    </row>
    <row r="2" spans="1:16" ht="15" customHeight="1" x14ac:dyDescent="0.3">
      <c r="A2" s="88" t="s">
        <v>66</v>
      </c>
      <c r="B2" s="71"/>
      <c r="C2" s="71"/>
      <c r="D2" s="71"/>
      <c r="F2" s="86" t="s">
        <v>67</v>
      </c>
      <c r="G2" s="71"/>
      <c r="H2" s="71"/>
      <c r="I2" s="71"/>
    </row>
    <row r="3" spans="1:16" ht="21.75" customHeight="1" x14ac:dyDescent="0.3">
      <c r="A3" s="32" t="s">
        <v>68</v>
      </c>
      <c r="B3" s="32" t="s">
        <v>69</v>
      </c>
      <c r="C3" s="32" t="s">
        <v>70</v>
      </c>
      <c r="D3" s="32" t="s">
        <v>69</v>
      </c>
      <c r="F3" s="33" t="s">
        <v>71</v>
      </c>
      <c r="G3" s="33" t="s">
        <v>69</v>
      </c>
      <c r="H3" s="33" t="s">
        <v>72</v>
      </c>
      <c r="I3" s="33" t="s">
        <v>69</v>
      </c>
      <c r="J3" t="s">
        <v>73</v>
      </c>
      <c r="K3" t="s">
        <v>74</v>
      </c>
      <c r="M3" t="s">
        <v>75</v>
      </c>
      <c r="N3" t="s">
        <v>69</v>
      </c>
      <c r="O3" t="s">
        <v>76</v>
      </c>
      <c r="P3" t="s">
        <v>77</v>
      </c>
    </row>
    <row r="4" spans="1:16" ht="15" customHeight="1" x14ac:dyDescent="0.3">
      <c r="A4" s="34" t="s">
        <v>78</v>
      </c>
      <c r="B4" s="35">
        <v>-1</v>
      </c>
      <c r="C4" s="36" t="s">
        <v>78</v>
      </c>
      <c r="D4" s="37">
        <v>-1</v>
      </c>
      <c r="F4" s="38" t="s">
        <v>78</v>
      </c>
      <c r="G4" s="39">
        <v>-1</v>
      </c>
      <c r="H4" s="40" t="s">
        <v>79</v>
      </c>
      <c r="I4" s="41">
        <v>-1</v>
      </c>
      <c r="J4" t="s">
        <v>80</v>
      </c>
      <c r="K4" t="s">
        <v>81</v>
      </c>
      <c r="M4" t="s">
        <v>78</v>
      </c>
      <c r="N4">
        <v>0.9</v>
      </c>
      <c r="O4" t="s">
        <v>82</v>
      </c>
      <c r="P4" t="s">
        <v>83</v>
      </c>
    </row>
    <row r="5" spans="1:16" ht="15" customHeight="1" x14ac:dyDescent="0.3">
      <c r="A5" s="42" t="s">
        <v>84</v>
      </c>
      <c r="B5" s="43">
        <v>-2.1</v>
      </c>
      <c r="C5" s="44" t="s">
        <v>84</v>
      </c>
      <c r="D5" s="45">
        <v>-2.1</v>
      </c>
      <c r="F5" s="42" t="s">
        <v>85</v>
      </c>
      <c r="G5" s="46">
        <v>-0.88</v>
      </c>
      <c r="H5" s="44" t="s">
        <v>85</v>
      </c>
      <c r="I5" s="47">
        <v>-0.88</v>
      </c>
      <c r="J5" t="s">
        <v>81</v>
      </c>
      <c r="K5" t="s">
        <v>80</v>
      </c>
      <c r="M5" t="s">
        <v>86</v>
      </c>
      <c r="N5">
        <v>1.2</v>
      </c>
      <c r="O5" t="s">
        <v>87</v>
      </c>
      <c r="P5" t="s">
        <v>83</v>
      </c>
    </row>
    <row r="6" spans="1:16" ht="15" customHeight="1" x14ac:dyDescent="0.3">
      <c r="A6" s="34" t="s">
        <v>88</v>
      </c>
      <c r="B6" s="35">
        <v>-1.8</v>
      </c>
      <c r="C6" s="36" t="s">
        <v>88</v>
      </c>
      <c r="D6" s="37">
        <v>-1.8</v>
      </c>
      <c r="F6" s="38" t="s">
        <v>89</v>
      </c>
      <c r="G6" s="39">
        <v>-0.57999999999999996</v>
      </c>
      <c r="H6" s="40" t="s">
        <v>89</v>
      </c>
      <c r="I6" s="41">
        <v>-0.57999999999999996</v>
      </c>
      <c r="J6" t="s">
        <v>90</v>
      </c>
      <c r="K6" t="s">
        <v>91</v>
      </c>
      <c r="M6" t="s">
        <v>92</v>
      </c>
      <c r="N6">
        <v>0.08</v>
      </c>
      <c r="O6" t="s">
        <v>93</v>
      </c>
      <c r="P6" t="s">
        <v>83</v>
      </c>
    </row>
    <row r="7" spans="1:16" ht="15" customHeight="1" x14ac:dyDescent="0.3">
      <c r="A7" s="42" t="s">
        <v>94</v>
      </c>
      <c r="B7" s="43">
        <v>-0.9</v>
      </c>
      <c r="C7" s="44" t="s">
        <v>85</v>
      </c>
      <c r="D7" s="45">
        <v>-0.9</v>
      </c>
      <c r="F7" s="42" t="s">
        <v>95</v>
      </c>
      <c r="G7" s="46">
        <v>-1.45</v>
      </c>
      <c r="H7" s="44" t="s">
        <v>84</v>
      </c>
      <c r="I7" s="47">
        <v>-1.45</v>
      </c>
      <c r="J7" t="s">
        <v>91</v>
      </c>
      <c r="K7" t="s">
        <v>90</v>
      </c>
      <c r="M7" t="s">
        <v>79</v>
      </c>
      <c r="N7">
        <v>0.59</v>
      </c>
      <c r="O7" t="s">
        <v>96</v>
      </c>
      <c r="P7" t="s">
        <v>83</v>
      </c>
    </row>
    <row r="8" spans="1:16" ht="15" customHeight="1" x14ac:dyDescent="0.3">
      <c r="A8" s="34" t="s">
        <v>95</v>
      </c>
      <c r="B8" s="35">
        <v>-0.9</v>
      </c>
      <c r="C8" s="36" t="s">
        <v>95</v>
      </c>
      <c r="D8" s="37">
        <v>-0.9</v>
      </c>
      <c r="F8" s="38" t="s">
        <v>97</v>
      </c>
      <c r="G8" s="39">
        <v>-1.44</v>
      </c>
      <c r="H8" s="40" t="s">
        <v>98</v>
      </c>
      <c r="I8" s="41">
        <v>-1.44</v>
      </c>
      <c r="M8" t="s">
        <v>97</v>
      </c>
      <c r="N8">
        <v>0.3</v>
      </c>
      <c r="O8" t="s">
        <v>99</v>
      </c>
      <c r="P8" t="s">
        <v>100</v>
      </c>
    </row>
    <row r="9" spans="1:16" ht="15" customHeight="1" x14ac:dyDescent="0.3">
      <c r="A9" s="42" t="s">
        <v>86</v>
      </c>
      <c r="B9" s="43">
        <v>-2.1</v>
      </c>
      <c r="C9" s="44" t="s">
        <v>86</v>
      </c>
      <c r="D9" s="45">
        <v>-2.1</v>
      </c>
      <c r="F9" s="42" t="s">
        <v>101</v>
      </c>
      <c r="G9" s="46">
        <v>-1.28</v>
      </c>
      <c r="H9" s="44" t="s">
        <v>88</v>
      </c>
      <c r="I9" s="47">
        <v>-1.28</v>
      </c>
      <c r="M9" t="s">
        <v>102</v>
      </c>
      <c r="N9">
        <v>0.6</v>
      </c>
      <c r="O9" t="s">
        <v>103</v>
      </c>
      <c r="P9" t="s">
        <v>104</v>
      </c>
    </row>
    <row r="10" spans="1:16" ht="15" customHeight="1" x14ac:dyDescent="0.3">
      <c r="A10" s="34" t="s">
        <v>105</v>
      </c>
      <c r="B10" s="35">
        <v>-1.7</v>
      </c>
      <c r="C10" s="36" t="s">
        <v>105</v>
      </c>
      <c r="D10" s="37">
        <v>-1.7</v>
      </c>
      <c r="F10" s="38" t="s">
        <v>102</v>
      </c>
      <c r="G10" s="39">
        <v>-1.3</v>
      </c>
      <c r="H10" s="40" t="s">
        <v>106</v>
      </c>
      <c r="I10" s="41">
        <v>-1.3</v>
      </c>
      <c r="M10" t="s">
        <v>98</v>
      </c>
      <c r="N10">
        <v>0.7</v>
      </c>
      <c r="O10" t="s">
        <v>107</v>
      </c>
      <c r="P10" t="s">
        <v>104</v>
      </c>
    </row>
    <row r="11" spans="1:16" ht="15" customHeight="1" x14ac:dyDescent="0.3">
      <c r="A11" s="42" t="s">
        <v>108</v>
      </c>
      <c r="B11" s="43">
        <v>-0.9</v>
      </c>
      <c r="C11" s="44" t="s">
        <v>101</v>
      </c>
      <c r="D11" s="45">
        <v>-0.9</v>
      </c>
      <c r="F11" s="42" t="s">
        <v>105</v>
      </c>
      <c r="G11" s="46">
        <v>-2.17</v>
      </c>
      <c r="H11" s="44" t="s">
        <v>109</v>
      </c>
      <c r="I11" s="47">
        <v>-2.17</v>
      </c>
      <c r="M11" t="s">
        <v>106</v>
      </c>
      <c r="N11">
        <v>0.9</v>
      </c>
      <c r="O11" t="s">
        <v>110</v>
      </c>
      <c r="P11" t="s">
        <v>104</v>
      </c>
    </row>
    <row r="12" spans="1:16" ht="15" customHeight="1" x14ac:dyDescent="0.3">
      <c r="A12" s="34" t="s">
        <v>102</v>
      </c>
      <c r="B12" s="35">
        <v>-1.3</v>
      </c>
      <c r="C12" s="36" t="s">
        <v>102</v>
      </c>
      <c r="D12" s="37">
        <v>-1.3</v>
      </c>
      <c r="F12" s="38" t="s">
        <v>109</v>
      </c>
      <c r="G12" s="39">
        <v>-2.2400000000000002</v>
      </c>
      <c r="H12" s="40" t="s">
        <v>105</v>
      </c>
      <c r="I12" s="41">
        <v>-2.2400000000000002</v>
      </c>
      <c r="M12" t="s">
        <v>88</v>
      </c>
      <c r="N12">
        <v>1.2</v>
      </c>
      <c r="O12" t="s">
        <v>111</v>
      </c>
      <c r="P12" t="s">
        <v>104</v>
      </c>
    </row>
    <row r="13" spans="1:16" ht="15" customHeight="1" x14ac:dyDescent="0.3">
      <c r="A13" s="42" t="s">
        <v>109</v>
      </c>
      <c r="B13" s="43">
        <v>-2.7</v>
      </c>
      <c r="C13" s="44" t="s">
        <v>109</v>
      </c>
      <c r="D13" s="45">
        <v>-2.7</v>
      </c>
      <c r="F13" s="42" t="s">
        <v>92</v>
      </c>
      <c r="G13" s="46">
        <v>-1.84</v>
      </c>
      <c r="H13" s="44" t="s">
        <v>86</v>
      </c>
      <c r="I13" s="47">
        <v>-1.84</v>
      </c>
      <c r="M13" t="s">
        <v>84</v>
      </c>
      <c r="N13">
        <v>1.3</v>
      </c>
      <c r="O13" t="s">
        <v>112</v>
      </c>
      <c r="P13" t="s">
        <v>104</v>
      </c>
    </row>
    <row r="14" spans="1:16" ht="15" customHeight="1" x14ac:dyDescent="0.3">
      <c r="A14" s="34" t="s">
        <v>92</v>
      </c>
      <c r="B14" s="35">
        <v>-2.9</v>
      </c>
      <c r="C14" s="36" t="s">
        <v>92</v>
      </c>
      <c r="D14" s="37">
        <v>-2.9</v>
      </c>
      <c r="M14" t="s">
        <v>95</v>
      </c>
      <c r="N14">
        <v>1.2</v>
      </c>
      <c r="O14" t="s">
        <v>113</v>
      </c>
      <c r="P14" t="s">
        <v>104</v>
      </c>
    </row>
    <row r="15" spans="1:16" ht="15" customHeight="1" x14ac:dyDescent="0.3">
      <c r="A15" s="42" t="s">
        <v>114</v>
      </c>
      <c r="B15" s="43">
        <v>-1.1000000000000001</v>
      </c>
      <c r="C15" s="44" t="s">
        <v>97</v>
      </c>
      <c r="D15" s="45">
        <v>-1.1000000000000001</v>
      </c>
      <c r="M15" t="s">
        <v>101</v>
      </c>
      <c r="N15">
        <v>1.1000000000000001</v>
      </c>
      <c r="O15" t="s">
        <v>115</v>
      </c>
      <c r="P15" t="s">
        <v>104</v>
      </c>
    </row>
    <row r="16" spans="1:16" ht="15" customHeight="1" x14ac:dyDescent="0.3">
      <c r="A16" s="34" t="s">
        <v>116</v>
      </c>
      <c r="B16" s="35">
        <v>-0.6</v>
      </c>
      <c r="C16" s="36" t="s">
        <v>89</v>
      </c>
      <c r="D16" s="37">
        <v>-0.6</v>
      </c>
    </row>
    <row r="17" spans="1:9" ht="15" customHeight="1" x14ac:dyDescent="0.3">
      <c r="A17" s="42" t="s">
        <v>117</v>
      </c>
      <c r="B17" s="43">
        <v>-1.6</v>
      </c>
      <c r="C17" s="44" t="s">
        <v>106</v>
      </c>
      <c r="D17" s="45">
        <v>-1.6</v>
      </c>
    </row>
    <row r="18" spans="1:9" ht="15" customHeight="1" x14ac:dyDescent="0.3">
      <c r="A18" s="34" t="s">
        <v>118</v>
      </c>
      <c r="B18" s="35">
        <v>-1.4</v>
      </c>
      <c r="C18" s="36" t="s">
        <v>98</v>
      </c>
      <c r="D18" s="37">
        <v>-1.4</v>
      </c>
    </row>
    <row r="19" spans="1:9" ht="15" customHeight="1" x14ac:dyDescent="0.3">
      <c r="A19" s="42" t="s">
        <v>119</v>
      </c>
      <c r="B19" s="43">
        <v>-0.2</v>
      </c>
      <c r="C19" s="44" t="s">
        <v>79</v>
      </c>
      <c r="D19" s="45">
        <v>-0.2</v>
      </c>
    </row>
    <row r="20" spans="1:9" ht="15" customHeight="1" x14ac:dyDescent="0.3">
      <c r="A20" s="48" t="s">
        <v>120</v>
      </c>
      <c r="B20" s="49">
        <v>3.1</v>
      </c>
      <c r="C20" s="85" t="s">
        <v>121</v>
      </c>
      <c r="D20" s="71"/>
    </row>
    <row r="22" spans="1:9" ht="36" customHeight="1" x14ac:dyDescent="0.3">
      <c r="A22" s="78" t="s">
        <v>122</v>
      </c>
      <c r="B22" s="71"/>
      <c r="C22" s="71"/>
      <c r="D22" s="71"/>
      <c r="E22" s="71"/>
      <c r="F22" s="71"/>
      <c r="G22" s="71"/>
      <c r="H22" s="71"/>
      <c r="I22" s="71"/>
    </row>
  </sheetData>
  <mergeCells count="5">
    <mergeCell ref="C20:D20"/>
    <mergeCell ref="F2:I2"/>
    <mergeCell ref="A1:I1"/>
    <mergeCell ref="A2:D2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zoomScaleNormal="100" workbookViewId="0">
      <selection sqref="A1:F1"/>
    </sheetView>
  </sheetViews>
  <sheetFormatPr defaultColWidth="8.6640625" defaultRowHeight="14.4" x14ac:dyDescent="0.3"/>
  <cols>
    <col min="1" max="1" width="42" customWidth="1"/>
    <col min="2" max="5" width="18" customWidth="1"/>
    <col min="6" max="6" width="30" customWidth="1"/>
  </cols>
  <sheetData>
    <row r="1" spans="1:6" ht="25.5" customHeight="1" x14ac:dyDescent="0.3">
      <c r="A1" s="87" t="s">
        <v>123</v>
      </c>
      <c r="B1" s="71"/>
      <c r="C1" s="71"/>
      <c r="D1" s="71"/>
      <c r="E1" s="71"/>
      <c r="F1" s="71"/>
    </row>
    <row r="2" spans="1:6" ht="19.5" customHeight="1" x14ac:dyDescent="0.3">
      <c r="A2" s="81" t="s">
        <v>124</v>
      </c>
      <c r="B2" s="71"/>
      <c r="C2" s="71"/>
      <c r="D2" s="71"/>
      <c r="E2" s="71"/>
      <c r="F2" s="71"/>
    </row>
    <row r="3" spans="1:6" ht="27.75" customHeight="1" x14ac:dyDescent="0.3">
      <c r="A3" s="5" t="s">
        <v>125</v>
      </c>
      <c r="B3" s="5" t="s">
        <v>126</v>
      </c>
      <c r="C3" s="5" t="s">
        <v>127</v>
      </c>
      <c r="D3" s="5" t="s">
        <v>128</v>
      </c>
      <c r="E3" s="5" t="s">
        <v>129</v>
      </c>
      <c r="F3" s="5" t="s">
        <v>130</v>
      </c>
    </row>
    <row r="4" spans="1:6" ht="18" customHeight="1" x14ac:dyDescent="0.3">
      <c r="A4" s="50" t="s">
        <v>131</v>
      </c>
      <c r="B4" s="51" t="s">
        <v>132</v>
      </c>
      <c r="C4" s="52">
        <v>-1.6</v>
      </c>
      <c r="D4" s="52">
        <v>2.25</v>
      </c>
      <c r="E4" s="53">
        <v>-3.6</v>
      </c>
      <c r="F4" s="54" t="s">
        <v>133</v>
      </c>
    </row>
    <row r="5" spans="1:6" ht="18" customHeight="1" x14ac:dyDescent="0.3">
      <c r="A5" s="55" t="s">
        <v>134</v>
      </c>
      <c r="B5" s="56" t="s">
        <v>135</v>
      </c>
      <c r="C5" s="57">
        <v>-0.9</v>
      </c>
      <c r="D5" s="57">
        <v>2.04</v>
      </c>
      <c r="E5" s="58">
        <v>-1.8360000000000001</v>
      </c>
      <c r="F5" s="59"/>
    </row>
    <row r="6" spans="1:6" ht="18" customHeight="1" x14ac:dyDescent="0.3">
      <c r="A6" s="50" t="s">
        <v>136</v>
      </c>
      <c r="B6" s="51" t="s">
        <v>137</v>
      </c>
      <c r="C6" s="52">
        <v>-0.2</v>
      </c>
      <c r="D6" s="52">
        <v>2.15</v>
      </c>
      <c r="E6" s="53">
        <v>-0.43</v>
      </c>
      <c r="F6" s="54" t="s">
        <v>138</v>
      </c>
    </row>
    <row r="7" spans="1:6" ht="18" customHeight="1" x14ac:dyDescent="0.3">
      <c r="A7" s="55" t="s">
        <v>139</v>
      </c>
      <c r="B7" s="56" t="s">
        <v>140</v>
      </c>
      <c r="C7" s="57">
        <v>-0.6</v>
      </c>
      <c r="D7" s="57">
        <v>1.94</v>
      </c>
      <c r="E7" s="58">
        <v>-1.1639999999999999</v>
      </c>
      <c r="F7" s="59"/>
    </row>
    <row r="8" spans="1:6" ht="18" customHeight="1" x14ac:dyDescent="0.3">
      <c r="A8" s="50" t="s">
        <v>141</v>
      </c>
      <c r="B8" s="51" t="s">
        <v>142</v>
      </c>
      <c r="C8" s="52">
        <v>-1</v>
      </c>
      <c r="D8" s="52">
        <v>2.08</v>
      </c>
      <c r="E8" s="53">
        <v>-2.08</v>
      </c>
      <c r="F8" s="54"/>
    </row>
    <row r="9" spans="1:6" ht="18" customHeight="1" x14ac:dyDescent="0.3">
      <c r="A9" s="55" t="s">
        <v>143</v>
      </c>
      <c r="B9" s="56" t="s">
        <v>142</v>
      </c>
      <c r="C9" s="57">
        <v>-1</v>
      </c>
      <c r="D9" s="57">
        <v>1.93</v>
      </c>
      <c r="E9" s="58">
        <v>-1.93</v>
      </c>
      <c r="F9" s="59"/>
    </row>
    <row r="10" spans="1:6" ht="18" customHeight="1" x14ac:dyDescent="0.3">
      <c r="A10" s="50" t="s">
        <v>144</v>
      </c>
      <c r="B10" s="51" t="s">
        <v>145</v>
      </c>
      <c r="C10" s="52">
        <v>-1.8</v>
      </c>
      <c r="D10" s="52">
        <v>2.02</v>
      </c>
      <c r="E10" s="53">
        <v>-3.6360000000000001</v>
      </c>
      <c r="F10" s="54"/>
    </row>
    <row r="11" spans="1:6" ht="18" customHeight="1" x14ac:dyDescent="0.3">
      <c r="A11" s="55" t="s">
        <v>146</v>
      </c>
      <c r="B11" s="56" t="s">
        <v>147</v>
      </c>
      <c r="C11" s="57">
        <v>-1.3</v>
      </c>
      <c r="D11" s="57">
        <v>1.72</v>
      </c>
      <c r="E11" s="58">
        <v>-2.2360000000000002</v>
      </c>
      <c r="F11" s="59"/>
    </row>
    <row r="12" spans="1:6" ht="18" customHeight="1" x14ac:dyDescent="0.3">
      <c r="A12" s="50" t="s">
        <v>148</v>
      </c>
      <c r="B12" s="51" t="s">
        <v>149</v>
      </c>
      <c r="C12" s="52">
        <v>-0.9</v>
      </c>
      <c r="D12" s="52">
        <v>1.88</v>
      </c>
      <c r="E12" s="53">
        <v>-1.6919999999999999</v>
      </c>
      <c r="F12" s="54"/>
    </row>
    <row r="13" spans="1:6" ht="18" customHeight="1" x14ac:dyDescent="0.3">
      <c r="A13" s="55" t="s">
        <v>150</v>
      </c>
      <c r="B13" s="56" t="s">
        <v>140</v>
      </c>
      <c r="C13" s="57">
        <v>-0.6</v>
      </c>
      <c r="D13" s="57">
        <v>1.98</v>
      </c>
      <c r="E13" s="58">
        <v>-1.1879999999999999</v>
      </c>
      <c r="F13" s="59"/>
    </row>
    <row r="14" spans="1:6" ht="18" customHeight="1" x14ac:dyDescent="0.3">
      <c r="A14" s="50" t="s">
        <v>151</v>
      </c>
      <c r="B14" s="51" t="s">
        <v>142</v>
      </c>
      <c r="C14" s="52">
        <v>-1</v>
      </c>
      <c r="D14" s="52">
        <v>1.51</v>
      </c>
      <c r="E14" s="53">
        <v>-1.51</v>
      </c>
      <c r="F14" s="54"/>
    </row>
    <row r="15" spans="1:6" ht="18" customHeight="1" x14ac:dyDescent="0.3">
      <c r="A15" s="55" t="s">
        <v>152</v>
      </c>
      <c r="B15" s="56" t="s">
        <v>149</v>
      </c>
      <c r="C15" s="57">
        <v>-0.9</v>
      </c>
      <c r="D15" s="57">
        <v>1.39</v>
      </c>
      <c r="E15" s="58">
        <v>-1.2509999999999999</v>
      </c>
      <c r="F15" s="59"/>
    </row>
    <row r="16" spans="1:6" ht="18" customHeight="1" x14ac:dyDescent="0.3">
      <c r="A16" s="50" t="s">
        <v>153</v>
      </c>
      <c r="B16" s="51" t="s">
        <v>154</v>
      </c>
      <c r="C16" s="52">
        <v>-1.4</v>
      </c>
      <c r="D16" s="52">
        <v>1</v>
      </c>
      <c r="E16" s="53">
        <v>-1.4</v>
      </c>
      <c r="F16" s="54" t="s">
        <v>155</v>
      </c>
    </row>
    <row r="17" spans="1:6" ht="18" customHeight="1" x14ac:dyDescent="0.3">
      <c r="A17" s="55" t="s">
        <v>156</v>
      </c>
      <c r="B17" s="56" t="s">
        <v>147</v>
      </c>
      <c r="C17" s="57">
        <v>-1.3</v>
      </c>
      <c r="D17" s="57">
        <v>1.46</v>
      </c>
      <c r="E17" s="58">
        <v>-1.8979999999999999</v>
      </c>
      <c r="F17" s="59"/>
    </row>
    <row r="18" spans="1:6" ht="18" customHeight="1" x14ac:dyDescent="0.3">
      <c r="A18" s="50" t="s">
        <v>157</v>
      </c>
      <c r="B18" s="51" t="s">
        <v>149</v>
      </c>
      <c r="C18" s="52">
        <v>-0.9</v>
      </c>
      <c r="D18" s="52">
        <v>1.38</v>
      </c>
      <c r="E18" s="53">
        <v>-1.242</v>
      </c>
      <c r="F18" s="54"/>
    </row>
    <row r="19" spans="1:6" ht="18" customHeight="1" x14ac:dyDescent="0.3">
      <c r="A19" s="55" t="s">
        <v>158</v>
      </c>
      <c r="B19" s="56" t="s">
        <v>140</v>
      </c>
      <c r="C19" s="57">
        <v>-0.6</v>
      </c>
      <c r="D19" s="57">
        <v>2.13</v>
      </c>
      <c r="E19" s="58">
        <v>-1.278</v>
      </c>
      <c r="F19" s="59"/>
    </row>
    <row r="20" spans="1:6" ht="18" customHeight="1" x14ac:dyDescent="0.3">
      <c r="A20" s="50" t="s">
        <v>159</v>
      </c>
      <c r="B20" s="51" t="s">
        <v>145</v>
      </c>
      <c r="C20" s="52">
        <v>-1.8</v>
      </c>
      <c r="D20" s="52">
        <v>1.9</v>
      </c>
      <c r="E20" s="53">
        <v>-3.42</v>
      </c>
      <c r="F20" s="54"/>
    </row>
    <row r="21" spans="1:6" ht="18" customHeight="1" x14ac:dyDescent="0.3">
      <c r="A21" s="55" t="s">
        <v>160</v>
      </c>
      <c r="B21" s="56" t="s">
        <v>161</v>
      </c>
      <c r="C21" s="57">
        <v>-2.7</v>
      </c>
      <c r="D21" s="57">
        <v>1.96</v>
      </c>
      <c r="E21" s="58">
        <v>-5.2919999999999998</v>
      </c>
      <c r="F21" s="59" t="s">
        <v>162</v>
      </c>
    </row>
    <row r="22" spans="1:6" ht="18" customHeight="1" x14ac:dyDescent="0.3">
      <c r="A22" s="50" t="s">
        <v>163</v>
      </c>
      <c r="B22" s="51" t="s">
        <v>164</v>
      </c>
      <c r="C22" s="52">
        <v>-2.1</v>
      </c>
      <c r="D22" s="52">
        <v>1.8</v>
      </c>
      <c r="E22" s="53">
        <v>-3.78</v>
      </c>
      <c r="F22" s="54" t="s">
        <v>165</v>
      </c>
    </row>
    <row r="23" spans="1:6" ht="24" customHeight="1" x14ac:dyDescent="0.3">
      <c r="A23" s="89" t="s">
        <v>166</v>
      </c>
      <c r="B23" s="71"/>
      <c r="C23" s="71"/>
      <c r="D23" s="71"/>
      <c r="E23" s="60">
        <v>-40.863</v>
      </c>
      <c r="F23" s="61" t="s">
        <v>167</v>
      </c>
    </row>
    <row r="24" spans="1:6" ht="25.5" customHeight="1" x14ac:dyDescent="0.3">
      <c r="A24" s="90" t="s">
        <v>168</v>
      </c>
      <c r="B24" s="71"/>
      <c r="C24" s="71"/>
      <c r="D24" s="71"/>
      <c r="E24" s="62">
        <v>3.1</v>
      </c>
      <c r="F24" s="63" t="s">
        <v>169</v>
      </c>
    </row>
    <row r="25" spans="1:6" ht="25.5" customHeight="1" x14ac:dyDescent="0.3">
      <c r="A25" s="90" t="s">
        <v>170</v>
      </c>
      <c r="B25" s="71"/>
      <c r="C25" s="71"/>
      <c r="D25" s="71"/>
      <c r="E25" s="62">
        <v>-37.762999999999998</v>
      </c>
      <c r="F25" s="63" t="s">
        <v>171</v>
      </c>
    </row>
    <row r="26" spans="1:6" ht="25.5" customHeight="1" x14ac:dyDescent="0.3">
      <c r="A26" s="90" t="s">
        <v>172</v>
      </c>
      <c r="B26" s="71"/>
      <c r="C26" s="71"/>
      <c r="D26" s="71"/>
      <c r="E26" s="62">
        <v>-21.648</v>
      </c>
      <c r="F26" s="63" t="s">
        <v>173</v>
      </c>
    </row>
    <row r="27" spans="1:6" ht="25.5" customHeight="1" x14ac:dyDescent="0.3">
      <c r="A27" s="90" t="s">
        <v>174</v>
      </c>
      <c r="B27" s="71"/>
      <c r="C27" s="71"/>
      <c r="D27" s="71"/>
      <c r="E27" s="62">
        <v>0</v>
      </c>
      <c r="F27" s="63" t="s">
        <v>175</v>
      </c>
    </row>
    <row r="28" spans="1:6" ht="25.5" customHeight="1" x14ac:dyDescent="0.3">
      <c r="A28" s="90" t="s">
        <v>176</v>
      </c>
      <c r="B28" s="71"/>
      <c r="C28" s="71"/>
      <c r="D28" s="71"/>
      <c r="E28" s="62">
        <v>1</v>
      </c>
      <c r="F28" s="63" t="s">
        <v>177</v>
      </c>
    </row>
    <row r="29" spans="1:6" ht="25.5" customHeight="1" x14ac:dyDescent="0.3">
      <c r="A29" s="92" t="s">
        <v>178</v>
      </c>
      <c r="B29" s="71"/>
      <c r="C29" s="71"/>
      <c r="D29" s="71"/>
      <c r="E29" s="64">
        <v>-16.114999999999998</v>
      </c>
      <c r="F29" s="65" t="s">
        <v>179</v>
      </c>
    </row>
    <row r="30" spans="1:6" ht="25.5" customHeight="1" x14ac:dyDescent="0.3">
      <c r="A30" s="92" t="s">
        <v>180</v>
      </c>
      <c r="B30" s="71"/>
      <c r="C30" s="71"/>
      <c r="D30" s="71"/>
      <c r="E30" s="64">
        <v>16.114999999999998</v>
      </c>
      <c r="F30" s="65" t="s">
        <v>181</v>
      </c>
    </row>
    <row r="32" spans="1:6" ht="49.5" customHeight="1" x14ac:dyDescent="0.3">
      <c r="A32" s="91" t="s">
        <v>182</v>
      </c>
      <c r="B32" s="71"/>
      <c r="C32" s="71"/>
      <c r="D32" s="71"/>
      <c r="E32" s="71"/>
      <c r="F32" s="71"/>
    </row>
  </sheetData>
  <mergeCells count="11">
    <mergeCell ref="A32:F32"/>
    <mergeCell ref="A30:D30"/>
    <mergeCell ref="A29:D29"/>
    <mergeCell ref="A25:D25"/>
    <mergeCell ref="A24:D24"/>
    <mergeCell ref="A28:D28"/>
    <mergeCell ref="A2:F2"/>
    <mergeCell ref="A23:D23"/>
    <mergeCell ref="A27:D27"/>
    <mergeCell ref="A1:F1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topLeftCell="A33" zoomScaleNormal="100" workbookViewId="0">
      <selection activeCell="G49" sqref="G49"/>
    </sheetView>
  </sheetViews>
  <sheetFormatPr defaultColWidth="8.6640625" defaultRowHeight="14.4" x14ac:dyDescent="0.3"/>
  <cols>
    <col min="1" max="1" width="30" customWidth="1"/>
    <col min="2" max="2" width="55" customWidth="1"/>
  </cols>
  <sheetData>
    <row r="1" spans="1:2" ht="25.5" customHeight="1" x14ac:dyDescent="0.3">
      <c r="A1" s="87" t="s">
        <v>183</v>
      </c>
      <c r="B1" s="71"/>
    </row>
    <row r="2" spans="1:2" ht="21.75" customHeight="1" x14ac:dyDescent="0.3">
      <c r="A2" s="93" t="s">
        <v>184</v>
      </c>
      <c r="B2" s="71"/>
    </row>
    <row r="3" spans="1:2" ht="60" customHeight="1" x14ac:dyDescent="0.3">
      <c r="A3" s="31" t="s">
        <v>185</v>
      </c>
      <c r="B3" s="1" t="s">
        <v>186</v>
      </c>
    </row>
    <row r="4" spans="1:2" ht="60" customHeight="1" x14ac:dyDescent="0.3">
      <c r="A4" s="31" t="s">
        <v>187</v>
      </c>
      <c r="B4" s="1" t="s">
        <v>188</v>
      </c>
    </row>
    <row r="5" spans="1:2" ht="60" customHeight="1" x14ac:dyDescent="0.3">
      <c r="A5" s="31" t="s">
        <v>189</v>
      </c>
      <c r="B5" s="1" t="s">
        <v>190</v>
      </c>
    </row>
    <row r="6" spans="1:2" ht="60" customHeight="1" x14ac:dyDescent="0.3">
      <c r="A6" s="31" t="s">
        <v>191</v>
      </c>
      <c r="B6" s="1" t="s">
        <v>192</v>
      </c>
    </row>
    <row r="7" spans="1:2" ht="46.5" customHeight="1" x14ac:dyDescent="0.3">
      <c r="A7" s="31" t="s">
        <v>193</v>
      </c>
      <c r="B7" s="1" t="s">
        <v>194</v>
      </c>
    </row>
    <row r="8" spans="1:2" ht="48" customHeight="1" x14ac:dyDescent="0.3">
      <c r="A8" s="31" t="s">
        <v>195</v>
      </c>
      <c r="B8" s="1" t="s">
        <v>196</v>
      </c>
    </row>
    <row r="9" spans="1:2" ht="9.75" customHeight="1" x14ac:dyDescent="0.3"/>
    <row r="10" spans="1:2" ht="21.75" customHeight="1" x14ac:dyDescent="0.3">
      <c r="A10" s="93" t="s">
        <v>197</v>
      </c>
      <c r="B10" s="71"/>
    </row>
    <row r="11" spans="1:2" ht="60" customHeight="1" x14ac:dyDescent="0.3">
      <c r="A11" s="31" t="s">
        <v>198</v>
      </c>
      <c r="B11" s="1" t="s">
        <v>199</v>
      </c>
    </row>
    <row r="12" spans="1:2" ht="60" customHeight="1" x14ac:dyDescent="0.3">
      <c r="A12" s="31" t="s">
        <v>200</v>
      </c>
      <c r="B12" s="1" t="s">
        <v>201</v>
      </c>
    </row>
    <row r="13" spans="1:2" ht="60" customHeight="1" x14ac:dyDescent="0.3">
      <c r="A13" s="31" t="s">
        <v>202</v>
      </c>
      <c r="B13" s="1" t="s">
        <v>203</v>
      </c>
    </row>
    <row r="14" spans="1:2" ht="36" customHeight="1" x14ac:dyDescent="0.3">
      <c r="A14" s="31" t="s">
        <v>204</v>
      </c>
      <c r="B14" s="1" t="s">
        <v>205</v>
      </c>
    </row>
    <row r="15" spans="1:2" ht="51.75" customHeight="1" x14ac:dyDescent="0.3">
      <c r="A15" s="31" t="s">
        <v>206</v>
      </c>
      <c r="B15" s="1" t="s">
        <v>207</v>
      </c>
    </row>
    <row r="16" spans="1:2" ht="9.75" customHeight="1" x14ac:dyDescent="0.3"/>
    <row r="17" spans="1:4" ht="21.75" customHeight="1" x14ac:dyDescent="0.3">
      <c r="A17" s="93" t="s">
        <v>208</v>
      </c>
      <c r="B17" s="71"/>
    </row>
    <row r="18" spans="1:4" ht="60" customHeight="1" x14ac:dyDescent="0.3">
      <c r="A18" s="31" t="s">
        <v>209</v>
      </c>
      <c r="B18" s="1" t="s">
        <v>210</v>
      </c>
    </row>
    <row r="19" spans="1:4" ht="48.75" customHeight="1" x14ac:dyDescent="0.3">
      <c r="A19" s="31" t="s">
        <v>211</v>
      </c>
      <c r="B19" s="1" t="s">
        <v>212</v>
      </c>
    </row>
    <row r="20" spans="1:4" ht="60" customHeight="1" x14ac:dyDescent="0.3">
      <c r="A20" s="31" t="s">
        <v>213</v>
      </c>
      <c r="B20" s="1" t="s">
        <v>214</v>
      </c>
    </row>
    <row r="21" spans="1:4" ht="60" customHeight="1" x14ac:dyDescent="0.3">
      <c r="A21" s="31" t="s">
        <v>215</v>
      </c>
      <c r="B21" s="1" t="s">
        <v>216</v>
      </c>
      <c r="D21" t="s">
        <v>217</v>
      </c>
    </row>
    <row r="22" spans="1:4" ht="9.75" customHeight="1" x14ac:dyDescent="0.3"/>
    <row r="23" spans="1:4" ht="21.75" customHeight="1" x14ac:dyDescent="0.3">
      <c r="A23" s="93" t="s">
        <v>218</v>
      </c>
      <c r="B23" s="71"/>
    </row>
    <row r="24" spans="1:4" ht="60" customHeight="1" x14ac:dyDescent="0.3">
      <c r="A24" s="31" t="s">
        <v>219</v>
      </c>
      <c r="B24" s="1" t="s">
        <v>220</v>
      </c>
    </row>
    <row r="25" spans="1:4" ht="46.5" customHeight="1" x14ac:dyDescent="0.3">
      <c r="A25" s="31" t="s">
        <v>221</v>
      </c>
      <c r="B25" s="1" t="s">
        <v>222</v>
      </c>
    </row>
    <row r="26" spans="1:4" ht="55.5" customHeight="1" x14ac:dyDescent="0.3">
      <c r="A26" s="31" t="s">
        <v>223</v>
      </c>
      <c r="B26" s="1" t="s">
        <v>224</v>
      </c>
    </row>
    <row r="27" spans="1:4" ht="45" customHeight="1" x14ac:dyDescent="0.3">
      <c r="A27" s="31" t="s">
        <v>225</v>
      </c>
      <c r="B27" s="1" t="s">
        <v>226</v>
      </c>
    </row>
    <row r="28" spans="1:4" ht="9.75" customHeight="1" x14ac:dyDescent="0.3"/>
    <row r="29" spans="1:4" ht="21.75" customHeight="1" x14ac:dyDescent="0.3">
      <c r="A29" s="93" t="s">
        <v>227</v>
      </c>
      <c r="B29" s="71"/>
    </row>
    <row r="30" spans="1:4" ht="36.75" customHeight="1" x14ac:dyDescent="0.3">
      <c r="A30" s="31" t="s">
        <v>228</v>
      </c>
      <c r="B30" s="1" t="s">
        <v>229</v>
      </c>
    </row>
    <row r="31" spans="1:4" ht="36" customHeight="1" x14ac:dyDescent="0.3">
      <c r="A31" s="31" t="s">
        <v>230</v>
      </c>
      <c r="B31" s="1" t="s">
        <v>231</v>
      </c>
    </row>
    <row r="32" spans="1:4" ht="33" customHeight="1" x14ac:dyDescent="0.3">
      <c r="A32" s="31" t="s">
        <v>232</v>
      </c>
      <c r="B32" s="1" t="s">
        <v>233</v>
      </c>
    </row>
    <row r="33" spans="1:12" ht="36" customHeight="1" x14ac:dyDescent="0.3">
      <c r="A33" s="31" t="s">
        <v>234</v>
      </c>
      <c r="B33" s="1" t="s">
        <v>235</v>
      </c>
    </row>
    <row r="34" spans="1:12" ht="30.75" customHeight="1" x14ac:dyDescent="0.3">
      <c r="A34" s="31" t="s">
        <v>236</v>
      </c>
      <c r="B34" s="1" t="s">
        <v>237</v>
      </c>
    </row>
    <row r="35" spans="1:12" ht="36.75" customHeight="1" x14ac:dyDescent="0.3">
      <c r="A35" s="31" t="s">
        <v>238</v>
      </c>
      <c r="B35" s="1" t="s">
        <v>239</v>
      </c>
    </row>
    <row r="36" spans="1:12" ht="27.75" customHeight="1" thickBot="1" x14ac:dyDescent="0.35">
      <c r="A36" s="31" t="s">
        <v>240</v>
      </c>
      <c r="B36" s="1" t="s">
        <v>241</v>
      </c>
    </row>
    <row r="37" spans="1:12" ht="15" thickBot="1" x14ac:dyDescent="0.35">
      <c r="A37" s="66" t="s">
        <v>242</v>
      </c>
      <c r="B37" s="66" t="s">
        <v>243</v>
      </c>
    </row>
    <row r="38" spans="1:12" ht="28.2" thickBot="1" x14ac:dyDescent="0.35">
      <c r="A38" s="67" t="s">
        <v>244</v>
      </c>
      <c r="B38" s="67" t="s">
        <v>245</v>
      </c>
    </row>
    <row r="39" spans="1:12" ht="28.2" thickBot="1" x14ac:dyDescent="0.35">
      <c r="A39" s="67" t="s">
        <v>246</v>
      </c>
      <c r="B39" s="67" t="s">
        <v>247</v>
      </c>
      <c r="C39" t="s">
        <v>259</v>
      </c>
    </row>
    <row r="40" spans="1:12" ht="15" thickBot="1" x14ac:dyDescent="0.35">
      <c r="A40" s="67" t="s">
        <v>248</v>
      </c>
      <c r="B40" s="67" t="s">
        <v>249</v>
      </c>
      <c r="C40" t="s">
        <v>258</v>
      </c>
    </row>
    <row r="41" spans="1:12" ht="28.2" thickBot="1" x14ac:dyDescent="0.35">
      <c r="A41" s="69" t="s">
        <v>250</v>
      </c>
      <c r="B41" s="69" t="s">
        <v>251</v>
      </c>
      <c r="C41" s="68" t="s">
        <v>257</v>
      </c>
      <c r="D41" s="68"/>
      <c r="E41" s="68"/>
      <c r="F41" s="68"/>
      <c r="G41" s="68"/>
      <c r="H41" s="68" t="s">
        <v>252</v>
      </c>
      <c r="I41" s="68"/>
      <c r="J41" s="68"/>
      <c r="K41" s="68"/>
      <c r="L41" s="68"/>
    </row>
    <row r="42" spans="1:12" x14ac:dyDescent="0.3">
      <c r="C42" s="68" t="s">
        <v>253</v>
      </c>
      <c r="D42" s="68"/>
      <c r="E42" s="68"/>
      <c r="F42" s="68"/>
      <c r="G42" s="68"/>
      <c r="H42" s="68"/>
      <c r="I42" s="68"/>
      <c r="J42" s="68"/>
      <c r="K42" s="68"/>
      <c r="L42" s="68"/>
    </row>
    <row r="43" spans="1:12" x14ac:dyDescent="0.3">
      <c r="C43" s="68"/>
      <c r="D43" s="68"/>
      <c r="E43" s="68"/>
      <c r="F43" s="68"/>
      <c r="G43" s="68"/>
      <c r="H43" s="68" t="s">
        <v>256</v>
      </c>
      <c r="I43" s="68"/>
      <c r="J43" s="68"/>
      <c r="K43" s="68"/>
      <c r="L43" s="68"/>
    </row>
  </sheetData>
  <mergeCells count="6">
    <mergeCell ref="A2:B2"/>
    <mergeCell ref="A29:B29"/>
    <mergeCell ref="A10:B10"/>
    <mergeCell ref="A1:B1"/>
    <mergeCell ref="A23:B23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Calculator</vt:lpstr>
      <vt:lpstr>Params</vt:lpstr>
      <vt:lpstr>Validation</vt:lpstr>
      <vt:lpstr>Interpretation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Amirhossein Mohajeraniaraghi - ami.mohajeraniaraghi@st</cp:lastModifiedBy>
  <cp:revision>0</cp:revision>
  <dcterms:created xsi:type="dcterms:W3CDTF">2026-04-21T09:01:18Z</dcterms:created>
  <dcterms:modified xsi:type="dcterms:W3CDTF">2026-04-27T22:44:16Z</dcterms:modified>
  <dc:language>en-US</dc:language>
</cp:coreProperties>
</file>